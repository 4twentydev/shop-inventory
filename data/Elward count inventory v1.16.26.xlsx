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home\brandon\code\shop-inventory\data\"/>
    </mc:Choice>
  </mc:AlternateContent>
  <xr:revisionPtr revIDLastSave="0" documentId="13_ncr:1_{C90E93C4-7655-4590-81FC-0CF098A834BD}" xr6:coauthVersionLast="47" xr6:coauthVersionMax="47" xr10:uidLastSave="{00000000-0000-0000-0000-000000000000}"/>
  <bookViews>
    <workbookView xWindow="-120" yWindow="-120" windowWidth="29040" windowHeight="15720" tabRatio="500" firstSheet="6" activeTab="6" xr2:uid="{00000000-000D-0000-FFFF-FFFF00000000}"/>
  </bookViews>
  <sheets>
    <sheet name="Summary" sheetId="1" r:id="rId1"/>
    <sheet name="Parts" sheetId="2" r:id="rId2"/>
    <sheet name="Locations" sheetId="3" r:id="rId3"/>
    <sheet name="Extrusion_Inventory" sheetId="4" r:id="rId4"/>
    <sheet name="Extrusion_Totals" sheetId="5" r:id="rId5"/>
    <sheet name="DRY_PER_Black_Silver" sheetId="6" r:id="rId6"/>
    <sheet name="ACM_Inventory" sheetId="7" r:id="rId7"/>
    <sheet name="SPL_inventory" sheetId="8" r:id="rId8"/>
    <sheet name="HPL_Inventory" sheetId="11" r:id="rId9"/>
    <sheet name="Rivet_Inventory" sheetId="9" r:id="rId10"/>
    <sheet name="Misc_Inventory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9" i="4" l="1"/>
  <c r="G12" i="4"/>
  <c r="G120" i="4"/>
  <c r="G117" i="4"/>
  <c r="G236" i="4"/>
  <c r="G237" i="4"/>
  <c r="G238" i="4"/>
  <c r="G239" i="4"/>
  <c r="G235" i="4"/>
  <c r="G196" i="4"/>
  <c r="G18" i="4"/>
  <c r="G136" i="4"/>
  <c r="G137" i="4"/>
  <c r="G163" i="4"/>
  <c r="G258" i="4"/>
  <c r="G259" i="4"/>
  <c r="G226" i="4"/>
  <c r="G227" i="4"/>
  <c r="G143" i="4"/>
  <c r="G261" i="4"/>
  <c r="G262" i="4"/>
  <c r="G263" i="4"/>
  <c r="G256" i="4"/>
  <c r="G126" i="4"/>
  <c r="G127" i="4"/>
  <c r="G128" i="4"/>
  <c r="G129" i="4"/>
  <c r="G130" i="4"/>
  <c r="G131" i="4"/>
  <c r="G132" i="4"/>
  <c r="G133" i="4"/>
  <c r="G134" i="4"/>
  <c r="G135" i="4"/>
  <c r="G138" i="4"/>
  <c r="G139" i="4"/>
  <c r="G140" i="4"/>
  <c r="G141" i="4"/>
  <c r="G142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20" i="4"/>
  <c r="G221" i="4"/>
  <c r="G222" i="4"/>
  <c r="G223" i="4"/>
  <c r="G224" i="4"/>
  <c r="G225" i="4"/>
  <c r="G228" i="4"/>
  <c r="G229" i="4"/>
  <c r="G230" i="4"/>
  <c r="G231" i="4"/>
  <c r="G232" i="4"/>
  <c r="G233" i="4"/>
  <c r="G234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125" i="4"/>
  <c r="G118" i="4"/>
  <c r="G119" i="4"/>
  <c r="G121" i="4"/>
  <c r="G122" i="4"/>
  <c r="G123" i="4"/>
  <c r="G124" i="4"/>
  <c r="G116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22" i="4"/>
  <c r="G23" i="4"/>
  <c r="G24" i="4"/>
  <c r="G25" i="4"/>
  <c r="G26" i="4"/>
  <c r="G27" i="4"/>
  <c r="G21" i="4"/>
  <c r="G7" i="4"/>
  <c r="G8" i="4"/>
  <c r="G9" i="4"/>
  <c r="G10" i="4"/>
  <c r="G11" i="4"/>
  <c r="G13" i="4"/>
  <c r="G14" i="4"/>
  <c r="G15" i="4"/>
  <c r="G16" i="4"/>
  <c r="G17" i="4"/>
  <c r="G19" i="4"/>
  <c r="G20" i="4"/>
  <c r="G3" i="4"/>
  <c r="G4" i="4"/>
  <c r="G5" i="4"/>
  <c r="G6" i="4"/>
  <c r="G2" i="4"/>
  <c r="E149" i="6"/>
  <c r="C11" i="1"/>
  <c r="B11" i="1"/>
  <c r="C8" i="1"/>
  <c r="B8" i="1"/>
  <c r="C7" i="1"/>
  <c r="B7" i="1"/>
  <c r="C6" i="1"/>
  <c r="B6" i="1"/>
  <c r="C5" i="1"/>
  <c r="B5" i="1"/>
  <c r="C4" i="1"/>
  <c r="B4" i="1"/>
  <c r="G26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tc={D9E6A139-521E-AE4F-BCFA-6B3CFEA7C583}</author>
    <author>tc={B20878DB-D339-684D-88A4-FD2D67ABE501}</author>
    <author>Iryna Aginska</author>
    <author>tc={79027D1D-5A33-F048-B34B-CE4C8C019BB8}</author>
    <author>tc={435222E1-A34F-5A47-B439-4D51015C830B}</author>
  </authors>
  <commentList>
    <comment ref="H23" authorId="0" shapeId="0" xr:uid="{D9E6A139-521E-AE4F-BCFA-6B3CFEA7C5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skid is empty</t>
      </text>
    </comment>
    <comment ref="D25" authorId="1" shapeId="0" xr:uid="{B20878DB-D339-684D-88A4-FD2D67ABE50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62x196</t>
      </text>
    </comment>
    <comment ref="E25" authorId="2" shapeId="0" xr:uid="{ABC550FA-6A33-42E5-BCBC-0F980CB970FF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Also we ordered 51" x 196"</t>
        </r>
      </text>
    </comment>
    <comment ref="E35" authorId="3" shapeId="0" xr:uid="{79027D1D-5A33-F048-B34B-CE4C8C019BB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we ordered 51" x 196"
Reply:
    This was incorrectly marked. It’s 24010 as I’ve changed it.</t>
      </text>
    </comment>
    <comment ref="G59" authorId="2" shapeId="0" xr:uid="{3552C10B-CB8A-41B6-B74D-DFCB2038BD1F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ordered Natural Brushed Aluminum Color, not Bright Silver Metallic</t>
        </r>
      </text>
    </comment>
    <comment ref="E61" authorId="2" shapeId="0" xr:uid="{5AEC21D9-D15D-4DB0-8453-8BF1F8A17F86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Greyhound color or Oyster color
It might be 62" x 196" or 62" x 168" size </t>
        </r>
      </text>
    </comment>
    <comment ref="E65" authorId="2" shapeId="0" xr:uid="{994891AE-AA6F-45C2-AA9E-F52EFB907F65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62" x 196" or 62" x 132" 
or 62" x 168"</t>
        </r>
      </text>
    </comment>
    <comment ref="B68" authorId="2" shapeId="0" xr:uid="{9FF88175-7CD9-4C5B-B922-70F0ABB2D381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There is no Job with number 23035 in Summit</t>
        </r>
      </text>
    </comment>
    <comment ref="E146" authorId="4" shapeId="0" xr:uid="{435222E1-A34F-5A47-B439-4D51015C830B}">
      <text>
        <t>[Threaded comment]
Your version of Excel allows you to read this threaded comment; however, any edits to it will get removed if the file is opened in a newer version of Excel. Learn more: https://go.microsoft.com/fwlink/?linkid=870924
Comment:
    I might be 62" x 196" or 50" x 168"
Reply:
    50x168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Iryna Aginska</author>
  </authors>
  <commentList>
    <comment ref="D18" authorId="0" shapeId="0" xr:uid="{F48A55DF-C70F-46A6-A670-AAB8D036E358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</t>
        </r>
      </text>
    </comment>
    <comment ref="D24" authorId="0" shapeId="0" xr:uid="{621DBC61-3989-4871-9EDF-E15EBE92BD2B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</t>
        </r>
      </text>
    </comment>
    <comment ref="D26" authorId="0" shapeId="0" xr:uid="{951E0C79-1F7F-470D-9971-E7B17439B428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49" x 120" or 49" x 98"</t>
        </r>
      </text>
    </comment>
    <comment ref="F28" authorId="0" shapeId="0" xr:uid="{A0041447-1791-4036-9C7B-F64C313AF400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Crystal 4111 color </t>
        </r>
      </text>
    </comment>
    <comment ref="F47" authorId="0" shapeId="0" xr:uid="{F20BEC6C-8C4E-477D-9E8F-497B7AAF9DB4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did not order SP material for job 22048</t>
        </r>
      </text>
    </comment>
    <comment ref="D48" authorId="0" shapeId="0" xr:uid="{ECF648C5-308A-4DD0-8737-20E23EC9F705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 </t>
        </r>
      </text>
    </comment>
    <comment ref="F48" authorId="0" shapeId="0" xr:uid="{651A0B9D-D4AF-49CF-B35C-18748F066CDC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We ordered only Nobilis Ref. Nr.: 118-22 AS1 color  - 8mm for this Job  </t>
        </r>
      </text>
    </comment>
    <comment ref="D70" authorId="0" shapeId="0" xr:uid="{E447AE41-A7CE-4A15-AED6-5377BF60CF77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might be 50" x 120" or 50" x 99" </t>
        </r>
      </text>
    </comment>
    <comment ref="F70" authorId="0" shapeId="0" xr:uid="{C1522ACD-3254-404F-8576-F3576DF658B6}">
      <text>
        <r>
          <rPr>
            <b/>
            <sz val="9"/>
            <color indexed="81"/>
            <rFont val="Tahoma"/>
            <family val="2"/>
          </rPr>
          <t>Iryna Aginska:</t>
        </r>
        <r>
          <rPr>
            <sz val="9"/>
            <color indexed="81"/>
            <rFont val="Tahoma"/>
            <family val="2"/>
          </rPr>
          <t xml:space="preserve">
It looks like this is Carat Onyx 7091, not Onyx 12091</t>
        </r>
      </text>
    </comment>
  </commentList>
</comments>
</file>

<file path=xl/sharedStrings.xml><?xml version="1.0" encoding="utf-8"?>
<sst xmlns="http://schemas.openxmlformats.org/spreadsheetml/2006/main" count="5147" uniqueCount="915">
  <si>
    <t>Inventory Summary Dashboard</t>
  </si>
  <si>
    <t>Category</t>
  </si>
  <si>
    <t>Line Items</t>
  </si>
  <si>
    <t>Total Quantity</t>
  </si>
  <si>
    <t>Notes</t>
  </si>
  <si>
    <t>Extrusions</t>
  </si>
  <si>
    <t>ACM Sheets</t>
  </si>
  <si>
    <t>Panels (SP/Trespa)</t>
  </si>
  <si>
    <t>Rivets</t>
  </si>
  <si>
    <t>Misc</t>
  </si>
  <si>
    <t>Filtered Views</t>
  </si>
  <si>
    <t>DRY/PER Black &amp; Silver</t>
  </si>
  <si>
    <t>Part_ID</t>
  </si>
  <si>
    <t>Part_Name</t>
  </si>
  <si>
    <t>Color</t>
  </si>
  <si>
    <t>RDTSH-BLACK</t>
  </si>
  <si>
    <t>RDTSH</t>
  </si>
  <si>
    <t>BLACK</t>
  </si>
  <si>
    <t>DRY</t>
  </si>
  <si>
    <t>RDTSH-SILVER</t>
  </si>
  <si>
    <t>SILVER</t>
  </si>
  <si>
    <t>RDTSH-MILL</t>
  </si>
  <si>
    <t>MILL</t>
  </si>
  <si>
    <t>RDTSH-CUSTOM</t>
  </si>
  <si>
    <t>CUSTOM</t>
  </si>
  <si>
    <t>RDL-BLACK</t>
  </si>
  <si>
    <t>RDL</t>
  </si>
  <si>
    <t>RDL-SILVER</t>
  </si>
  <si>
    <t>RDL-MILL</t>
  </si>
  <si>
    <t>RDL-CUSTOM</t>
  </si>
  <si>
    <t>RDR-BLACK</t>
  </si>
  <si>
    <t>RDR</t>
  </si>
  <si>
    <t>RDR-SILVER</t>
  </si>
  <si>
    <t>RDR-MILL</t>
  </si>
  <si>
    <t>RDR-CUSTOM</t>
  </si>
  <si>
    <t>RDT-BLACK</t>
  </si>
  <si>
    <t>RDT</t>
  </si>
  <si>
    <t>RDT-SILVER</t>
  </si>
  <si>
    <t>RDT-MILL</t>
  </si>
  <si>
    <t>RDT-CUSTOM</t>
  </si>
  <si>
    <t>RDZ-BLACK</t>
  </si>
  <si>
    <t>RDZ</t>
  </si>
  <si>
    <t>RDZ-SILVER</t>
  </si>
  <si>
    <t>RDZ-MILL</t>
  </si>
  <si>
    <t>RDZ-CUSTOM</t>
  </si>
  <si>
    <t>RDZH-BLACK</t>
  </si>
  <si>
    <t>RDZH</t>
  </si>
  <si>
    <t>RDZH-SILVER</t>
  </si>
  <si>
    <t>RDZH-MILL</t>
  </si>
  <si>
    <t>RDZH-CUSTOM</t>
  </si>
  <si>
    <t>RDTP-BLACK</t>
  </si>
  <si>
    <t>RDTP</t>
  </si>
  <si>
    <t>RDTP-SILVER</t>
  </si>
  <si>
    <t>RDTP-MILL</t>
  </si>
  <si>
    <t>RDTP-CUSTOM</t>
  </si>
  <si>
    <t>RDTPH-BLACK</t>
  </si>
  <si>
    <t>RDTPH</t>
  </si>
  <si>
    <t>RDTPH-SILVER</t>
  </si>
  <si>
    <t>RDTPH-MILL</t>
  </si>
  <si>
    <t>RDTPH-CUSTOM</t>
  </si>
  <si>
    <t>RDBB-BLACK</t>
  </si>
  <si>
    <t>RDBB</t>
  </si>
  <si>
    <t>RDBB-SILVER</t>
  </si>
  <si>
    <t>RDBB-MILL</t>
  </si>
  <si>
    <t>RDBB-CUSTOM</t>
  </si>
  <si>
    <t>RDTR-BLACK</t>
  </si>
  <si>
    <t>RDTR</t>
  </si>
  <si>
    <t>RDTR-SILVER</t>
  </si>
  <si>
    <t>RDTR-MILL</t>
  </si>
  <si>
    <t>RDTR-CUSTOM</t>
  </si>
  <si>
    <t>RDIC-BLACK</t>
  </si>
  <si>
    <t>RDIC</t>
  </si>
  <si>
    <t>RDIC-SILVER</t>
  </si>
  <si>
    <t>RDIC-MILL</t>
  </si>
  <si>
    <t>RDIC-CUSTOM</t>
  </si>
  <si>
    <t>RDJF-BLACK</t>
  </si>
  <si>
    <t>RDJF</t>
  </si>
  <si>
    <t>RDJF-SILVER</t>
  </si>
  <si>
    <t>RDJF-MILL</t>
  </si>
  <si>
    <t>RDJF-CUSTOM</t>
  </si>
  <si>
    <t>RDTS-BLACK</t>
  </si>
  <si>
    <t>RDTS</t>
  </si>
  <si>
    <t>RDTS-SILVER</t>
  </si>
  <si>
    <t>RDTS-MILL</t>
  </si>
  <si>
    <t>RDTS-CUSTOM</t>
  </si>
  <si>
    <t>RDXTC-BLACK</t>
  </si>
  <si>
    <t>RDXTC</t>
  </si>
  <si>
    <t>RDXTC-SILVER</t>
  </si>
  <si>
    <t>RDXTC-MILL</t>
  </si>
  <si>
    <t>RDXTC-CUSTOM</t>
  </si>
  <si>
    <t>J-BLACK</t>
  </si>
  <si>
    <t>J</t>
  </si>
  <si>
    <t>J-SILVER</t>
  </si>
  <si>
    <t>J-MILL</t>
  </si>
  <si>
    <t>J-CUSTOM</t>
  </si>
  <si>
    <t>RDXT-BLACK</t>
  </si>
  <si>
    <t>RDXT</t>
  </si>
  <si>
    <t>RDXT-SILVER</t>
  </si>
  <si>
    <t>RDXT-MILL</t>
  </si>
  <si>
    <t>RDXT-CUSTOM</t>
  </si>
  <si>
    <t>RDXB-BLACK</t>
  </si>
  <si>
    <t>RDXB</t>
  </si>
  <si>
    <t>RDXB-SILVER</t>
  </si>
  <si>
    <t>RDXB-MILL</t>
  </si>
  <si>
    <t>RDXB-CUSTOM</t>
  </si>
  <si>
    <t>RDCJC-BLACK</t>
  </si>
  <si>
    <t>RDCJC</t>
  </si>
  <si>
    <t>RDCJC-SILVER</t>
  </si>
  <si>
    <t>RDCJC-MILL</t>
  </si>
  <si>
    <t>RDCJC-CUSTOM</t>
  </si>
  <si>
    <t>RDJ-BLACK</t>
  </si>
  <si>
    <t>RDJ</t>
  </si>
  <si>
    <t>RDJ-SILVER</t>
  </si>
  <si>
    <t>RDJ-MILL</t>
  </si>
  <si>
    <t>RDJ-CUSTOM</t>
  </si>
  <si>
    <t>RDTH-BLACK</t>
  </si>
  <si>
    <t>RDTH</t>
  </si>
  <si>
    <t>RDTH-SILVER</t>
  </si>
  <si>
    <t>RDTH-MILL</t>
  </si>
  <si>
    <t>RDTH-CUSTOM</t>
  </si>
  <si>
    <t>RDHA-BLACK</t>
  </si>
  <si>
    <t>RDHA</t>
  </si>
  <si>
    <t>RDHA-SILVER</t>
  </si>
  <si>
    <t>RDHA-MILL</t>
  </si>
  <si>
    <t>RDHA-CUSTOM</t>
  </si>
  <si>
    <t>RDGHA-BLACK</t>
  </si>
  <si>
    <t>RDGHA</t>
  </si>
  <si>
    <t>RDGHA-SILVER</t>
  </si>
  <si>
    <t>RDGHA-MILL</t>
  </si>
  <si>
    <t>RDGHA-CUSTOM</t>
  </si>
  <si>
    <t>RDFEC-BLACK</t>
  </si>
  <si>
    <t>RDFEC</t>
  </si>
  <si>
    <t>RDFEC-SILVER</t>
  </si>
  <si>
    <t>RDFEC-MILL</t>
  </si>
  <si>
    <t>RDFEC-CUSTOM</t>
  </si>
  <si>
    <t>RDFED-BLACK</t>
  </si>
  <si>
    <t>RDFED</t>
  </si>
  <si>
    <t>RDFED-SILVER</t>
  </si>
  <si>
    <t>RDFED-MILL</t>
  </si>
  <si>
    <t>RDFED-CUSTOM</t>
  </si>
  <si>
    <t>RDFEE-BLACK</t>
  </si>
  <si>
    <t>RDFEE</t>
  </si>
  <si>
    <t>RDFEE-SILVER</t>
  </si>
  <si>
    <t>RDFEE-MILL</t>
  </si>
  <si>
    <t>RDFEE-CUSTOM</t>
  </si>
  <si>
    <t>RDFEA-BLACK</t>
  </si>
  <si>
    <t>RDFEA</t>
  </si>
  <si>
    <t>RDFEA-SILVER</t>
  </si>
  <si>
    <t>RDFEA-MILL</t>
  </si>
  <si>
    <t>RDFEA-CUSTOM</t>
  </si>
  <si>
    <t>RDFEB-BLACK</t>
  </si>
  <si>
    <t>RDFEB</t>
  </si>
  <si>
    <t>RDFEB-SILVER</t>
  </si>
  <si>
    <t>RDFEB-MILL</t>
  </si>
  <si>
    <t>RDFEB-CUSTOM</t>
  </si>
  <si>
    <t>RDOBQ-BLACK</t>
  </si>
  <si>
    <t>RDOBQ</t>
  </si>
  <si>
    <t>RDOBQ-SILVER</t>
  </si>
  <si>
    <t>RDOBQ-MILL</t>
  </si>
  <si>
    <t>RDOBQ-CUSTOM</t>
  </si>
  <si>
    <t>RDGT-BLACK</t>
  </si>
  <si>
    <t>RDGT</t>
  </si>
  <si>
    <t>RDGT-SILVER</t>
  </si>
  <si>
    <t>RDGT-MILL</t>
  </si>
  <si>
    <t>RDGT-CUSTOM</t>
  </si>
  <si>
    <t>RDCJ-BLACK</t>
  </si>
  <si>
    <t>RDCJ</t>
  </si>
  <si>
    <t>RDCJ-SILVER</t>
  </si>
  <si>
    <t>RDCJ-MILL</t>
  </si>
  <si>
    <t>RDCJ-CUSTOM</t>
  </si>
  <si>
    <t>RDWEG-BLACK</t>
  </si>
  <si>
    <t>RDWEG</t>
  </si>
  <si>
    <t>RDWEG-SILVER</t>
  </si>
  <si>
    <t>RDWEG-MILL</t>
  </si>
  <si>
    <t>RDWEG-CUSTOM</t>
  </si>
  <si>
    <t>RDJQ-BLACK</t>
  </si>
  <si>
    <t>RDJQ</t>
  </si>
  <si>
    <t>RDJQ-SILVER</t>
  </si>
  <si>
    <t>RDJQ-MILL</t>
  </si>
  <si>
    <t>RDJQ-CUSTOM</t>
  </si>
  <si>
    <t>RDTRC-BLACK</t>
  </si>
  <si>
    <t>RDTRC</t>
  </si>
  <si>
    <t>RDTRC-SILVER</t>
  </si>
  <si>
    <t>RDTRC-MILL</t>
  </si>
  <si>
    <t>RDTRC-CUSTOM</t>
  </si>
  <si>
    <t>RDTQ2-BLACK</t>
  </si>
  <si>
    <t>RDTQ2</t>
  </si>
  <si>
    <t>RDTQ2-SILVER</t>
  </si>
  <si>
    <t>RDTQ2-MILL</t>
  </si>
  <si>
    <t>RDTQ2-CUSTOM</t>
  </si>
  <si>
    <t>RDLM-BLACK</t>
  </si>
  <si>
    <t>RDLM</t>
  </si>
  <si>
    <t>RDLM-SILVER</t>
  </si>
  <si>
    <t>RDLM-MILL</t>
  </si>
  <si>
    <t>RDLM-CUSTOM</t>
  </si>
  <si>
    <t>RDA-BLACK</t>
  </si>
  <si>
    <t>RDA</t>
  </si>
  <si>
    <t>RDA-SILVER</t>
  </si>
  <si>
    <t>RDA-MILL</t>
  </si>
  <si>
    <t>RDA-CUSTOM</t>
  </si>
  <si>
    <t>RDS-BLACK</t>
  </si>
  <si>
    <t>RDS</t>
  </si>
  <si>
    <t>RDS-SILVER</t>
  </si>
  <si>
    <t>RDS-MILL</t>
  </si>
  <si>
    <t>RDS-CUSTOM</t>
  </si>
  <si>
    <t>RDBP-BLACK</t>
  </si>
  <si>
    <t>RDBP</t>
  </si>
  <si>
    <t>RDBP-SILVER</t>
  </si>
  <si>
    <t>RDBP-MILL</t>
  </si>
  <si>
    <t>RDBP-CUSTOM</t>
  </si>
  <si>
    <t>RDHF-BLACK</t>
  </si>
  <si>
    <t>RDHF</t>
  </si>
  <si>
    <t>RDHF-SILVER</t>
  </si>
  <si>
    <t>RDHF-MILL</t>
  </si>
  <si>
    <t>RDHF-CUSTOM</t>
  </si>
  <si>
    <t>RDTQ-BLACK</t>
  </si>
  <si>
    <t>RDTQ</t>
  </si>
  <si>
    <t>RDTQ-SILVER</t>
  </si>
  <si>
    <t>RDTQ-MILL</t>
  </si>
  <si>
    <t>RDTQ-CUSTOM</t>
  </si>
  <si>
    <t>RDTF-BLACK</t>
  </si>
  <si>
    <t>RDTF</t>
  </si>
  <si>
    <t>RDTF-SILVER</t>
  </si>
  <si>
    <t>RDTF-MILL</t>
  </si>
  <si>
    <t>RDTF-CUSTOM</t>
  </si>
  <si>
    <t>RDTW-BLACK</t>
  </si>
  <si>
    <t>RDTW</t>
  </si>
  <si>
    <t>RDTW-SILVER</t>
  </si>
  <si>
    <t>RDTW-MILL</t>
  </si>
  <si>
    <t>RDTW-CUSTOM</t>
  </si>
  <si>
    <t>RDGE-BLACK</t>
  </si>
  <si>
    <t>RDGE</t>
  </si>
  <si>
    <t>RDGE-SILVER</t>
  </si>
  <si>
    <t>RDGE-MILL</t>
  </si>
  <si>
    <t>RDGE-CUSTOM</t>
  </si>
  <si>
    <t>RDPP-BLACK</t>
  </si>
  <si>
    <t>RDPP</t>
  </si>
  <si>
    <t>RDPP-SILVER</t>
  </si>
  <si>
    <t>RDPP-MILL</t>
  </si>
  <si>
    <t>RDPP-CUSTOM</t>
  </si>
  <si>
    <t>RDTA-BLACK</t>
  </si>
  <si>
    <t>RDTA</t>
  </si>
  <si>
    <t>RDTA-SILVER</t>
  </si>
  <si>
    <t>RDTA-MILL</t>
  </si>
  <si>
    <t>RDTA-CUSTOM</t>
  </si>
  <si>
    <t>RDLT-BLACK</t>
  </si>
  <si>
    <t>RDLT</t>
  </si>
  <si>
    <t>RDLT-SILVER</t>
  </si>
  <si>
    <t>RDLT-MILL</t>
  </si>
  <si>
    <t>RDLT-CUSTOM</t>
  </si>
  <si>
    <t>RDHH-BLACK</t>
  </si>
  <si>
    <t>RDHH</t>
  </si>
  <si>
    <t>RDHH-SILVER</t>
  </si>
  <si>
    <t>RDHH-MILL</t>
  </si>
  <si>
    <t>RDHH-CUSTOM</t>
  </si>
  <si>
    <t>RDOB-BLACK</t>
  </si>
  <si>
    <t>RDOB</t>
  </si>
  <si>
    <t>RDOB-SILVER</t>
  </si>
  <si>
    <t>RDOB-MILL</t>
  </si>
  <si>
    <t>RDOB-CUSTOM</t>
  </si>
  <si>
    <t>PERL-BLACK</t>
  </si>
  <si>
    <t>PERL</t>
  </si>
  <si>
    <t>PER</t>
  </si>
  <si>
    <t>PERL-SILVER</t>
  </si>
  <si>
    <t>PERL-MILL</t>
  </si>
  <si>
    <t>PERL-CUSTOM</t>
  </si>
  <si>
    <t>PERR-BLACK</t>
  </si>
  <si>
    <t>PERR</t>
  </si>
  <si>
    <t>PERR-SILVER</t>
  </si>
  <si>
    <t>PERR-MILL</t>
  </si>
  <si>
    <t>PERR-CUSTOM</t>
  </si>
  <si>
    <t>PERZ-BLACK</t>
  </si>
  <si>
    <t>PERZ</t>
  </si>
  <si>
    <t>PERZ-SILVER</t>
  </si>
  <si>
    <t>PERZ-MILL</t>
  </si>
  <si>
    <t>PERZ-CUSTOM</t>
  </si>
  <si>
    <t>PERFL-BLACK</t>
  </si>
  <si>
    <t>PERFL</t>
  </si>
  <si>
    <t>PERFL-SILVER</t>
  </si>
  <si>
    <t>PERFL-MILL</t>
  </si>
  <si>
    <t>PERFL-CUSTOM</t>
  </si>
  <si>
    <t>PERB-BLACK</t>
  </si>
  <si>
    <t>PERB</t>
  </si>
  <si>
    <t>PERB-SILVER</t>
  </si>
  <si>
    <t>PERB-MILL</t>
  </si>
  <si>
    <t>PERB-CUSTOM</t>
  </si>
  <si>
    <t>PERT-BLACK</t>
  </si>
  <si>
    <t>PERT</t>
  </si>
  <si>
    <t>PERT-SILVER</t>
  </si>
  <si>
    <t>PERT-MILL</t>
  </si>
  <si>
    <t>PERT-CUSTOM</t>
  </si>
  <si>
    <t>PERJM-BLACK</t>
  </si>
  <si>
    <t>PERJM</t>
  </si>
  <si>
    <t>PERJM-SILVER</t>
  </si>
  <si>
    <t>PERJM-MILL</t>
  </si>
  <si>
    <t>PERJM-CUSTOM</t>
  </si>
  <si>
    <t>PERTP-BLACK</t>
  </si>
  <si>
    <t>PERTP</t>
  </si>
  <si>
    <t>PERTP-SILVER</t>
  </si>
  <si>
    <t>PERTP-MILL</t>
  </si>
  <si>
    <t>PERTP-CUSTOM</t>
  </si>
  <si>
    <t>PERHA-BLACK</t>
  </si>
  <si>
    <t>PERHA</t>
  </si>
  <si>
    <t>PERHA-SILVER</t>
  </si>
  <si>
    <t>PERHA-MILL</t>
  </si>
  <si>
    <t>PERHA-CUSTOM</t>
  </si>
  <si>
    <t>PERJE-BLACK</t>
  </si>
  <si>
    <t>PERJE</t>
  </si>
  <si>
    <t>PERJE-SILVER</t>
  </si>
  <si>
    <t>PERJE-MILL</t>
  </si>
  <si>
    <t>PERJE-CUSTOM</t>
  </si>
  <si>
    <t>PERICA-BLACK</t>
  </si>
  <si>
    <t>PERICA</t>
  </si>
  <si>
    <t>PERICA-SILVER</t>
  </si>
  <si>
    <t>PERICA-MILL</t>
  </si>
  <si>
    <t>PERICA-CUSTOM</t>
  </si>
  <si>
    <t>PERJSHA-BLACK</t>
  </si>
  <si>
    <t>PERJSHA</t>
  </si>
  <si>
    <t>PERJSHA-SILVER</t>
  </si>
  <si>
    <t>PERJSHA-MILL</t>
  </si>
  <si>
    <t>PERJSHA-CUSTOM</t>
  </si>
  <si>
    <t>PERJS-BLACK</t>
  </si>
  <si>
    <t>PERJS</t>
  </si>
  <si>
    <t>PERJS-SILVER</t>
  </si>
  <si>
    <t>PERJS-MILL</t>
  </si>
  <si>
    <t>PERJS-CUSTOM</t>
  </si>
  <si>
    <t>PERSHA-BLACK</t>
  </si>
  <si>
    <t>PERSHA</t>
  </si>
  <si>
    <t>PERSHA-SILVER</t>
  </si>
  <si>
    <t>PERSHA-MILL</t>
  </si>
  <si>
    <t>PERSHA-CUSTOM</t>
  </si>
  <si>
    <t>PERCJF-BLACK</t>
  </si>
  <si>
    <t>PERCJF</t>
  </si>
  <si>
    <t>PERCJF-SILVER</t>
  </si>
  <si>
    <t>PERCJF-MILL</t>
  </si>
  <si>
    <t>PERCJF-CUSTOM</t>
  </si>
  <si>
    <t>PERJ-BLACK</t>
  </si>
  <si>
    <t>PERJ</t>
  </si>
  <si>
    <t>PERJ-SILVER</t>
  </si>
  <si>
    <t>PERJ-MILL</t>
  </si>
  <si>
    <t>PERJ-CUSTOM</t>
  </si>
  <si>
    <t>PERXB-BLACK</t>
  </si>
  <si>
    <t>PERXB</t>
  </si>
  <si>
    <t>PERXB-SILVER</t>
  </si>
  <si>
    <t>PERXB-MILL</t>
  </si>
  <si>
    <t>PERXB-CUSTOM</t>
  </si>
  <si>
    <t>PERXT-BLACK</t>
  </si>
  <si>
    <t>PERXT</t>
  </si>
  <si>
    <t>PERXT-SILVER</t>
  </si>
  <si>
    <t>PERXT-MILL</t>
  </si>
  <si>
    <t>PERXT-CUSTOM</t>
  </si>
  <si>
    <t>PERTF-BLACK</t>
  </si>
  <si>
    <t>PERTF</t>
  </si>
  <si>
    <t>PERTF-SILVER</t>
  </si>
  <si>
    <t>PERTF-MILL</t>
  </si>
  <si>
    <t>PERTF-CUSTOM</t>
  </si>
  <si>
    <t>PERSP-BLACK</t>
  </si>
  <si>
    <t>PERSP</t>
  </si>
  <si>
    <t>PERSP-SILVER</t>
  </si>
  <si>
    <t>PERSP-MILL</t>
  </si>
  <si>
    <t>PERSP-CUSTOM</t>
  </si>
  <si>
    <t>PERCJ-BLACK</t>
  </si>
  <si>
    <t>PERCJ</t>
  </si>
  <si>
    <t>PERCJ-SILVER</t>
  </si>
  <si>
    <t>PERCJ-MILL</t>
  </si>
  <si>
    <t>PERCJ-CUSTOM</t>
  </si>
  <si>
    <t>PERTFE-BLACK</t>
  </si>
  <si>
    <t>PERTFE</t>
  </si>
  <si>
    <t>PERTFE-SILVER</t>
  </si>
  <si>
    <t>PERTFE-MILL</t>
  </si>
  <si>
    <t>PERTFE-CUSTOM</t>
  </si>
  <si>
    <t>PERHF2-BLACK</t>
  </si>
  <si>
    <t>PERHF2</t>
  </si>
  <si>
    <t>PERHF2-SILVER</t>
  </si>
  <si>
    <t>PERHF2-MILL</t>
  </si>
  <si>
    <t>PERHF2-CUSTOM</t>
  </si>
  <si>
    <t>PERVFE-BLACK</t>
  </si>
  <si>
    <t>PERVFE</t>
  </si>
  <si>
    <t>PERVFE-SILVER</t>
  </si>
  <si>
    <t>PERVFE-MILL</t>
  </si>
  <si>
    <t>PERVFE-CUSTOM</t>
  </si>
  <si>
    <t>PERJF-BLACK</t>
  </si>
  <si>
    <t>PERJF</t>
  </si>
  <si>
    <t>PERJF-SILVER</t>
  </si>
  <si>
    <t>PERJF-MILL</t>
  </si>
  <si>
    <t>PERJF-CUSTOM</t>
  </si>
  <si>
    <t>SRSJWT</t>
  </si>
  <si>
    <t>SRS</t>
  </si>
  <si>
    <t>SRSC4</t>
  </si>
  <si>
    <t>SRSJ</t>
  </si>
  <si>
    <t>SRSCJ</t>
  </si>
  <si>
    <t>SRSJTC</t>
  </si>
  <si>
    <t>SRSZ</t>
  </si>
  <si>
    <t>SRST4</t>
  </si>
  <si>
    <t>SRSASC</t>
  </si>
  <si>
    <t>SRSJWC</t>
  </si>
  <si>
    <t>SRSSPS</t>
  </si>
  <si>
    <t>SRSDLC</t>
  </si>
  <si>
    <t>SRSJTT</t>
  </si>
  <si>
    <t>SRSLZ</t>
  </si>
  <si>
    <t>SRSC6</t>
  </si>
  <si>
    <t>SRSCJX</t>
  </si>
  <si>
    <t>SRSDLT</t>
  </si>
  <si>
    <t>SRSFEC</t>
  </si>
  <si>
    <t>SRSJF</t>
  </si>
  <si>
    <t>SRSTLC</t>
  </si>
  <si>
    <t>SRSBLC</t>
  </si>
  <si>
    <t>SRSDLV</t>
  </si>
  <si>
    <t>SRSFET</t>
  </si>
  <si>
    <t>SRSJSC</t>
  </si>
  <si>
    <t>SRSCJC</t>
  </si>
  <si>
    <t>RRWR</t>
  </si>
  <si>
    <t>WET</t>
  </si>
  <si>
    <t>RRWL</t>
  </si>
  <si>
    <t>RRWRRA2</t>
  </si>
  <si>
    <t>RRWB</t>
  </si>
  <si>
    <t>RRWZ</t>
  </si>
  <si>
    <t>RRWLD</t>
  </si>
  <si>
    <t>RRWRD</t>
  </si>
  <si>
    <t>RRWCB</t>
  </si>
  <si>
    <t>RRWCA</t>
  </si>
  <si>
    <t>RRWZD</t>
  </si>
  <si>
    <t>110-001 168</t>
  </si>
  <si>
    <t>Other</t>
  </si>
  <si>
    <t>110-001 169</t>
  </si>
  <si>
    <t>110-002 170</t>
  </si>
  <si>
    <t>TRJHVY 173</t>
  </si>
  <si>
    <t>TRJLT 174</t>
  </si>
  <si>
    <t>TRHAT 175</t>
  </si>
  <si>
    <t>TRRAIL 176</t>
  </si>
  <si>
    <t>210-001 215</t>
  </si>
  <si>
    <t>TRMAT 285</t>
  </si>
  <si>
    <t>SPLHAT</t>
  </si>
  <si>
    <t>SPLZEE</t>
  </si>
  <si>
    <t>SPLMAT</t>
  </si>
  <si>
    <t>SPLJ</t>
  </si>
  <si>
    <t>SPLCLP8</t>
  </si>
  <si>
    <t>SPLCLP12</t>
  </si>
  <si>
    <t>SPECRAIL</t>
  </si>
  <si>
    <t>SPFISC8</t>
  </si>
  <si>
    <t>SPFISC12</t>
  </si>
  <si>
    <t>SPLWHAT</t>
  </si>
  <si>
    <t>PLTH</t>
  </si>
  <si>
    <t>PLOB</t>
  </si>
  <si>
    <t>PLL</t>
  </si>
  <si>
    <t>PLR</t>
  </si>
  <si>
    <t>PLTF</t>
  </si>
  <si>
    <t>PLTPH</t>
  </si>
  <si>
    <t>PLCJ</t>
  </si>
  <si>
    <t>PLIC</t>
  </si>
  <si>
    <t>PLBK</t>
  </si>
  <si>
    <t>PL316ADP</t>
  </si>
  <si>
    <t>PL316CLP</t>
  </si>
  <si>
    <t>BVRR</t>
  </si>
  <si>
    <t>BVRBC</t>
  </si>
  <si>
    <t>BVRJ</t>
  </si>
  <si>
    <t>BVRT</t>
  </si>
  <si>
    <t>BVROB</t>
  </si>
  <si>
    <t>83T-102 229</t>
  </si>
  <si>
    <t>83T-105 PS 235</t>
  </si>
  <si>
    <t>83T-14A PA4 231</t>
  </si>
  <si>
    <t>83T-230 PAS 230</t>
  </si>
  <si>
    <t>83T-435 PA11 249</t>
  </si>
  <si>
    <t>83T-15A 250</t>
  </si>
  <si>
    <t>83T-19A 251</t>
  </si>
  <si>
    <t>83T-02C 253</t>
  </si>
  <si>
    <t>83T-103 254</t>
  </si>
  <si>
    <t>83T-13A 258</t>
  </si>
  <si>
    <t>83T-230 259</t>
  </si>
  <si>
    <t>83T-18A 260</t>
  </si>
  <si>
    <t>83T-11A 261</t>
  </si>
  <si>
    <t>S</t>
  </si>
  <si>
    <t>HA</t>
  </si>
  <si>
    <t>SH</t>
  </si>
  <si>
    <t>Z</t>
  </si>
  <si>
    <t>TM</t>
  </si>
  <si>
    <t>SWB</t>
  </si>
  <si>
    <t>SWT</t>
  </si>
  <si>
    <t>FTM-ACM</t>
  </si>
  <si>
    <t>FINB</t>
  </si>
  <si>
    <t>FINCJ</t>
  </si>
  <si>
    <t>FINZ</t>
  </si>
  <si>
    <t>FIN150 292</t>
  </si>
  <si>
    <t>PARTITION</t>
  </si>
  <si>
    <t>THOR</t>
  </si>
  <si>
    <t>TRECC</t>
  </si>
  <si>
    <t>GEGU</t>
  </si>
  <si>
    <t>GEST</t>
  </si>
  <si>
    <t>FT</t>
  </si>
  <si>
    <t>SG4</t>
  </si>
  <si>
    <t>SGR</t>
  </si>
  <si>
    <t>SGL</t>
  </si>
  <si>
    <t>SGTOB</t>
  </si>
  <si>
    <t>ZEE</t>
  </si>
  <si>
    <t>WSUP</t>
  </si>
  <si>
    <t>DCS</t>
  </si>
  <si>
    <t>DCP</t>
  </si>
  <si>
    <t>CS1</t>
  </si>
  <si>
    <t>CS2</t>
  </si>
  <si>
    <t>CS3</t>
  </si>
  <si>
    <t>BHA</t>
  </si>
  <si>
    <t>LVR</t>
  </si>
  <si>
    <t>T26</t>
  </si>
  <si>
    <t>SWC</t>
  </si>
  <si>
    <t>IC90-CLIP</t>
  </si>
  <si>
    <t>CPLOB</t>
  </si>
  <si>
    <t>CPLT2</t>
  </si>
  <si>
    <t>CPLTPFP</t>
  </si>
  <si>
    <t>EXTRCLP</t>
  </si>
  <si>
    <t>SC4</t>
  </si>
  <si>
    <t>PP1</t>
  </si>
  <si>
    <t>RS903</t>
  </si>
  <si>
    <t>RS901</t>
  </si>
  <si>
    <t>RS902</t>
  </si>
  <si>
    <t>TUBE</t>
  </si>
  <si>
    <t>Location_ID</t>
  </si>
  <si>
    <t>Type</t>
  </si>
  <si>
    <t>Zone</t>
  </si>
  <si>
    <t>Rack 5</t>
  </si>
  <si>
    <t>Rack</t>
  </si>
  <si>
    <t>Yard</t>
  </si>
  <si>
    <t>Rack 6</t>
  </si>
  <si>
    <t>Rack 7</t>
  </si>
  <si>
    <t>Rack 8</t>
  </si>
  <si>
    <t>Rack 9</t>
  </si>
  <si>
    <t>Rack 10</t>
  </si>
  <si>
    <t>Rack 11</t>
  </si>
  <si>
    <t>Rack 12</t>
  </si>
  <si>
    <t>Rack 13</t>
  </si>
  <si>
    <t>Rack 14</t>
  </si>
  <si>
    <t>Rack 15</t>
  </si>
  <si>
    <t>Rack 16</t>
  </si>
  <si>
    <t>Rack 17</t>
  </si>
  <si>
    <t>Rack 18</t>
  </si>
  <si>
    <t>Rack 19</t>
  </si>
  <si>
    <t>Rack 20</t>
  </si>
  <si>
    <t>Rack 21</t>
  </si>
  <si>
    <t>Rack 22</t>
  </si>
  <si>
    <t>Rack 23</t>
  </si>
  <si>
    <t>Rack 24</t>
  </si>
  <si>
    <t>Rack 25</t>
  </si>
  <si>
    <t>Rack 26</t>
  </si>
  <si>
    <t>Rack 27</t>
  </si>
  <si>
    <t>Ground</t>
  </si>
  <si>
    <t>Floor</t>
  </si>
  <si>
    <t>Lot</t>
  </si>
  <si>
    <t>Outdoor</t>
  </si>
  <si>
    <t>Receiving</t>
  </si>
  <si>
    <t>Staging</t>
  </si>
  <si>
    <t>Shipping</t>
  </si>
  <si>
    <t>Row 52</t>
  </si>
  <si>
    <t>Row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</si>
  <si>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</si>
  <si>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</si>
  <si>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</si>
  <si>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</si>
  <si>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</si>
  <si>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</si>
  <si>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</si>
  <si>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</si>
  <si>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Tent 1</t>
  </si>
  <si>
    <t>Tent</t>
  </si>
  <si>
    <t>Tent 2</t>
  </si>
  <si>
    <t>Tent 3</t>
  </si>
  <si>
    <t>Tent 4</t>
  </si>
  <si>
    <t>Tent 5</t>
  </si>
  <si>
    <t>Tent 6</t>
  </si>
  <si>
    <t>Tent 7</t>
  </si>
  <si>
    <t>Tent 8</t>
  </si>
  <si>
    <t>Tent 9</t>
  </si>
  <si>
    <t>Tent 10</t>
  </si>
  <si>
    <t>Tent 11</t>
  </si>
  <si>
    <t>Tent 12</t>
  </si>
  <si>
    <t>Tent 13</t>
  </si>
  <si>
    <t>Tent 14</t>
  </si>
  <si>
    <t>Rivet Room</t>
  </si>
  <si>
    <t>Room</t>
  </si>
  <si>
    <t>Shop</t>
  </si>
  <si>
    <t>Quantity</t>
  </si>
  <si>
    <t>Total_Quantity</t>
  </si>
  <si>
    <t>Location_Count</t>
  </si>
  <si>
    <t>TOTALS</t>
  </si>
  <si>
    <t>Job_Number</t>
  </si>
  <si>
    <t>Pallet</t>
  </si>
  <si>
    <t>Size_W</t>
  </si>
  <si>
    <t>Size_L</t>
  </si>
  <si>
    <t>Brand</t>
  </si>
  <si>
    <t>Anodic Satin</t>
  </si>
  <si>
    <t>Scarlett Red</t>
  </si>
  <si>
    <t>Sunstorm Copper</t>
  </si>
  <si>
    <t>Silver Metallic</t>
  </si>
  <si>
    <t>Dusty Charcoal</t>
  </si>
  <si>
    <t>Statuary Bronze</t>
  </si>
  <si>
    <t>Bone White</t>
  </si>
  <si>
    <t>Blue Stone Charcoal Mask</t>
  </si>
  <si>
    <t>Champagne Metallic Mask</t>
  </si>
  <si>
    <t>Champagne Metallic</t>
  </si>
  <si>
    <t>Centria Sundance Mica</t>
  </si>
  <si>
    <t>Greyhound</t>
  </si>
  <si>
    <t>SLCIA Light Copper</t>
  </si>
  <si>
    <t>Slate Grey</t>
  </si>
  <si>
    <t>AAP Silversmith</t>
  </si>
  <si>
    <t>Sapphire Blue</t>
  </si>
  <si>
    <t>Sanger Blue</t>
  </si>
  <si>
    <t>Award Blue</t>
  </si>
  <si>
    <t>JLR Champagne Metallic</t>
  </si>
  <si>
    <t>Russet Mica</t>
  </si>
  <si>
    <t>White Shore</t>
  </si>
  <si>
    <t>Bone White Mask</t>
  </si>
  <si>
    <t>Tender Oak</t>
  </si>
  <si>
    <t>Pure White</t>
  </si>
  <si>
    <t>Clear Anodized</t>
  </si>
  <si>
    <t>Tri-Corn Black</t>
  </si>
  <si>
    <t>Graphite Mica</t>
  </si>
  <si>
    <t>Light Copper Metallic</t>
  </si>
  <si>
    <t>Bright Silver Metallic</t>
  </si>
  <si>
    <t>No Tag</t>
  </si>
  <si>
    <t>Oyster</t>
  </si>
  <si>
    <t>Platnum Mica</t>
  </si>
  <si>
    <t>Epernay Champagne Metallic PVDF3</t>
  </si>
  <si>
    <t>SLCIA Champagne Bronze Metallic</t>
  </si>
  <si>
    <t>Statuary Brozne</t>
  </si>
  <si>
    <t>Union Charcoal</t>
  </si>
  <si>
    <t>Mica Grey</t>
  </si>
  <si>
    <t>Anodic Clear</t>
  </si>
  <si>
    <t>Red fire</t>
  </si>
  <si>
    <t>Russet Mica/ Random</t>
  </si>
  <si>
    <t>White Shore PVDF3</t>
  </si>
  <si>
    <t>Dragon Stone Bronze Mask</t>
  </si>
  <si>
    <t>Aciero Carten</t>
  </si>
  <si>
    <t>Silversmith</t>
  </si>
  <si>
    <t>Titanium</t>
  </si>
  <si>
    <t>SLCIA Dark Copper Metallic</t>
  </si>
  <si>
    <t>PImage Blue Mask</t>
  </si>
  <si>
    <t>Steel City Silver Mica Mask</t>
  </si>
  <si>
    <t>Tuscan Sun</t>
  </si>
  <si>
    <t>SLCIA Bronze Metallic</t>
  </si>
  <si>
    <t>Sunrise Silver</t>
  </si>
  <si>
    <t>SLCIA Champagne Broze Metallic</t>
  </si>
  <si>
    <t>Neon Red / Random</t>
  </si>
  <si>
    <t>Bunny Grey</t>
  </si>
  <si>
    <t>Sanger Ed. Com. Bldg</t>
  </si>
  <si>
    <t>Brite Green</t>
  </si>
  <si>
    <t>Mill Bronze</t>
  </si>
  <si>
    <t>Brite Red</t>
  </si>
  <si>
    <t>Cadet Grey</t>
  </si>
  <si>
    <t>Magica Charm</t>
  </si>
  <si>
    <t>Silver Smith</t>
  </si>
  <si>
    <t>Red Fire</t>
  </si>
  <si>
    <t>Beach Stone Gray Metallic</t>
  </si>
  <si>
    <t>Dark Copper Metallic</t>
  </si>
  <si>
    <t>White Stone</t>
  </si>
  <si>
    <t>Ivory Crystal Gloss</t>
  </si>
  <si>
    <t>Dura Eclipse Gray</t>
  </si>
  <si>
    <t>Thickness_mm</t>
  </si>
  <si>
    <t>3</t>
  </si>
  <si>
    <t>Vintago - VI 001</t>
  </si>
  <si>
    <t>7</t>
  </si>
  <si>
    <t>Nobilis Granite 622</t>
  </si>
  <si>
    <t>2</t>
  </si>
  <si>
    <t>REFLEX Dark Silver 9222</t>
  </si>
  <si>
    <t>22</t>
  </si>
  <si>
    <t>6</t>
  </si>
  <si>
    <t>9</t>
  </si>
  <si>
    <t>Zenor 69055</t>
  </si>
  <si>
    <t>43</t>
  </si>
  <si>
    <t>Carat R-Color: Onyx 7091</t>
  </si>
  <si>
    <t>28</t>
  </si>
  <si>
    <t>Nobilis: Jade 522</t>
  </si>
  <si>
    <t>AVERA: AV 020</t>
  </si>
  <si>
    <t>5</t>
  </si>
  <si>
    <t>CARAT R-COLOR: Topaz 7070 R</t>
  </si>
  <si>
    <t>Reflex: Crystal 4111</t>
  </si>
  <si>
    <t>Nobilis: Natura Gobit 118-22 As1</t>
  </si>
  <si>
    <t>NOBILIS: Jade 521</t>
  </si>
  <si>
    <t>4</t>
  </si>
  <si>
    <t>CARAT HR: Onyx 7099</t>
  </si>
  <si>
    <t>42</t>
  </si>
  <si>
    <t>CARAT R-COLOR: Onyx 7091</t>
  </si>
  <si>
    <t>1</t>
  </si>
  <si>
    <t>Planea HR: Sw6594-Ref.Nr. 96-25</t>
  </si>
  <si>
    <t>CARAT: Sahara 7002</t>
  </si>
  <si>
    <t>?</t>
  </si>
  <si>
    <t>Largo Carat</t>
  </si>
  <si>
    <t>Nobilis Amber 723</t>
  </si>
  <si>
    <t>41</t>
  </si>
  <si>
    <t>CARAT HR: Sapphire 7060</t>
  </si>
  <si>
    <t>Patina 222</t>
  </si>
  <si>
    <t>NOBILIS: Jade 522</t>
  </si>
  <si>
    <t>Carat Ivory 8099</t>
  </si>
  <si>
    <t>Nobilis: Crystal 124</t>
  </si>
  <si>
    <t>24</t>
  </si>
  <si>
    <t>Patina Original 222</t>
  </si>
  <si>
    <t>44</t>
  </si>
  <si>
    <t>Patina Original P545</t>
  </si>
  <si>
    <t>16</t>
  </si>
  <si>
    <t>LARGO: Gravial Anthracite 3020</t>
  </si>
  <si>
    <t>CARAT: Onyx 7091</t>
  </si>
  <si>
    <t>CARAT F-COLOR: Sahara 7001</t>
  </si>
  <si>
    <t>8</t>
  </si>
  <si>
    <t>Patina Original P070 NXT</t>
  </si>
  <si>
    <t>LARGO: Planea Solarit P3 5981</t>
  </si>
  <si>
    <t>97</t>
  </si>
  <si>
    <t>40</t>
  </si>
  <si>
    <t>13</t>
  </si>
  <si>
    <t>Nobilis: Anthracite 221</t>
  </si>
  <si>
    <t>VINTAGO: Crystal 7317</t>
  </si>
  <si>
    <t>99</t>
  </si>
  <si>
    <t>Patina Original P070</t>
  </si>
  <si>
    <t>Carat Crystak 8010</t>
  </si>
  <si>
    <t>Patina Inline P070</t>
  </si>
  <si>
    <t>Carat Ivory 7090</t>
  </si>
  <si>
    <t>Gravial Crystal 125</t>
  </si>
  <si>
    <t>19</t>
  </si>
  <si>
    <t>Nobilis Granite 624</t>
  </si>
  <si>
    <t>W240 Mat</t>
  </si>
  <si>
    <t>CARAT R-COLOR: Topaz 7070</t>
  </si>
  <si>
    <t>27</t>
  </si>
  <si>
    <t>CARAT HR: Onyx 7099 HR</t>
  </si>
  <si>
    <t>33</t>
  </si>
  <si>
    <t>31</t>
  </si>
  <si>
    <t>VINTAGO: VI 091</t>
  </si>
  <si>
    <t>10</t>
  </si>
  <si>
    <t>Carat Coral 7032</t>
  </si>
  <si>
    <t>11</t>
  </si>
  <si>
    <t>Nobilis 624 Hr W/ Ars0 Backside</t>
  </si>
  <si>
    <t>21</t>
  </si>
  <si>
    <t>Zenor 11006</t>
  </si>
  <si>
    <t>96</t>
  </si>
  <si>
    <t>Onyx 12091</t>
  </si>
  <si>
    <t>23</t>
  </si>
  <si>
    <t>Zenor: 65126</t>
  </si>
  <si>
    <t>17</t>
  </si>
  <si>
    <t>25</t>
  </si>
  <si>
    <t>26</t>
  </si>
  <si>
    <t>Carat Coral 8033</t>
  </si>
  <si>
    <t>Carat Coral 8034</t>
  </si>
  <si>
    <t>Carat Coral 8035</t>
  </si>
  <si>
    <t>Carat Coral 8036</t>
  </si>
  <si>
    <t>Carat Coral 8037</t>
  </si>
  <si>
    <t>Carat Coral 8038</t>
  </si>
  <si>
    <t>Carat Coral 8039</t>
  </si>
  <si>
    <t>Carat Coral 8040</t>
  </si>
  <si>
    <t>Carat Coral 8041</t>
  </si>
  <si>
    <t>Carat Coral 8042</t>
  </si>
  <si>
    <t>Carat Coral 8043</t>
  </si>
  <si>
    <t>Carat Coral 8044</t>
  </si>
  <si>
    <t>Carat Coral 8045</t>
  </si>
  <si>
    <t>Carat Coral 8046</t>
  </si>
  <si>
    <t>Carat Coral 8047</t>
  </si>
  <si>
    <t>Carat Coral 8048</t>
  </si>
  <si>
    <t>Carat Coral 8049</t>
  </si>
  <si>
    <t>Carat Coral 8050</t>
  </si>
  <si>
    <t>Carat Coral 8051</t>
  </si>
  <si>
    <t>Carat Coral 8052</t>
  </si>
  <si>
    <t>Carat Coral 8053</t>
  </si>
  <si>
    <t>Carat Coral 8054</t>
  </si>
  <si>
    <t>Carat Coral 8055</t>
  </si>
  <si>
    <t>Carat Coral 8056</t>
  </si>
  <si>
    <t>Carat Coral 8057</t>
  </si>
  <si>
    <t>Carat Coral 8058</t>
  </si>
  <si>
    <t>Carat Coral 8059</t>
  </si>
  <si>
    <t>Carat Coral 8060</t>
  </si>
  <si>
    <t>Carat Coral 8061</t>
  </si>
  <si>
    <t>Carat Coral 8062</t>
  </si>
  <si>
    <t>Carat Coral 8064</t>
  </si>
  <si>
    <t>Carat Coral 8065</t>
  </si>
  <si>
    <t>Carat Coral 8066</t>
  </si>
  <si>
    <t>Carat Coral 8067</t>
  </si>
  <si>
    <t>Carat Coral 8068</t>
  </si>
  <si>
    <t>Carat Coral 8069</t>
  </si>
  <si>
    <t>Carat Coral 8070</t>
  </si>
  <si>
    <t>Carat Coral 8071</t>
  </si>
  <si>
    <t>Carat Coral 8072</t>
  </si>
  <si>
    <t>Carat Coral 8073</t>
  </si>
  <si>
    <t>Carat Coral 8075</t>
  </si>
  <si>
    <t>Carat Coral 8076</t>
  </si>
  <si>
    <t>Carat Coral 8077</t>
  </si>
  <si>
    <t>Carat Coral 8078</t>
  </si>
  <si>
    <t>Carat Coral 8079</t>
  </si>
  <si>
    <t>Carat Coral 8080</t>
  </si>
  <si>
    <t>Carat Coral 8082</t>
  </si>
  <si>
    <t>Carat Coral 8083</t>
  </si>
  <si>
    <t>Carat Coral 8084</t>
  </si>
  <si>
    <t>Carat Coral 8085</t>
  </si>
  <si>
    <t>Carat Coral 8086</t>
  </si>
  <si>
    <t>Carat Coral 8087</t>
  </si>
  <si>
    <t>Carat Coral 8088</t>
  </si>
  <si>
    <t>Carat Coral 8089</t>
  </si>
  <si>
    <t>Carat Coral 8090</t>
  </si>
  <si>
    <t>Carat Coral 8091</t>
  </si>
  <si>
    <t>Carat Coral 8092</t>
  </si>
  <si>
    <t>German Blue 0237</t>
  </si>
  <si>
    <t>Enigma 0923</t>
  </si>
  <si>
    <t>Nobilis Gobit N 38 5438</t>
  </si>
  <si>
    <t>Golden Nugget</t>
  </si>
  <si>
    <t>Carat Granite</t>
  </si>
  <si>
    <t>Silver Polish</t>
  </si>
  <si>
    <t>Creative Bronze</t>
  </si>
  <si>
    <t>Anodic Clear Mica</t>
  </si>
  <si>
    <t>Bright Green</t>
  </si>
  <si>
    <t>Slate Gray</t>
  </si>
  <si>
    <t>Satin Mica</t>
  </si>
  <si>
    <t>Champagne Metalic Df-020</t>
  </si>
  <si>
    <t>Light Copper</t>
  </si>
  <si>
    <t>Champagne Metalic Df-036</t>
  </si>
  <si>
    <t>Sage Green Df-027</t>
  </si>
  <si>
    <t>Impressive Pewter</t>
  </si>
  <si>
    <t>Red Spice</t>
  </si>
  <si>
    <t>Champagne Metalic</t>
  </si>
  <si>
    <t>Seasonal Mustard</t>
  </si>
  <si>
    <t>Candle Light</t>
  </si>
  <si>
    <t>Lupine Blue</t>
  </si>
  <si>
    <t>Black</t>
  </si>
  <si>
    <t>Light Copper Met</t>
  </si>
  <si>
    <t>Creek Medium Bronze</t>
  </si>
  <si>
    <t>Anadized Clear</t>
  </si>
  <si>
    <t>Copper Penny</t>
  </si>
  <si>
    <t>Patriot Red</t>
  </si>
  <si>
    <t>Un-Painted</t>
  </si>
  <si>
    <t>Champagne Met</t>
  </si>
  <si>
    <t>Jlr Champagne Met</t>
  </si>
  <si>
    <t>Sunstorm Fawn</t>
  </si>
  <si>
    <t>Creative Bronze Df-006</t>
  </si>
  <si>
    <t>Beachstone Gray Met</t>
  </si>
  <si>
    <t>Anodic Satin Mica</t>
  </si>
  <si>
    <t>Chesnut Charcoal</t>
  </si>
  <si>
    <t>Silver Mica</t>
  </si>
  <si>
    <t>Champagne Bronze</t>
  </si>
  <si>
    <t>Grey</t>
  </si>
  <si>
    <t>Beachstone Gray</t>
  </si>
  <si>
    <t>White</t>
  </si>
  <si>
    <t>Oriental Cane</t>
  </si>
  <si>
    <t>Timber Walnut</t>
  </si>
  <si>
    <t>Copper Brown</t>
  </si>
  <si>
    <t>Corpal Red</t>
  </si>
  <si>
    <t>Manhattan Beige</t>
  </si>
  <si>
    <t>Mzg Gray</t>
  </si>
  <si>
    <t>Cambridge White</t>
  </si>
  <si>
    <t>Roosevelt Yellow</t>
  </si>
  <si>
    <t>Metro Yellow</t>
  </si>
  <si>
    <t>Transit Gray</t>
  </si>
  <si>
    <t>Gloss White</t>
  </si>
  <si>
    <t>Dark Copper</t>
  </si>
  <si>
    <t>Steel City Silver Mica</t>
  </si>
  <si>
    <t>Trc Red</t>
  </si>
  <si>
    <t>Program White</t>
  </si>
  <si>
    <t>Zenor 63077</t>
  </si>
  <si>
    <t>Crystal 124</t>
  </si>
  <si>
    <t>Crystal 122</t>
  </si>
  <si>
    <t>Name</t>
  </si>
  <si>
    <t>Size</t>
  </si>
  <si>
    <t>Unit</t>
  </si>
  <si>
    <t>Staples</t>
  </si>
  <si>
    <t>1.75</t>
  </si>
  <si>
    <t>boxes</t>
  </si>
  <si>
    <t>1.25</t>
  </si>
  <si>
    <t>each</t>
  </si>
  <si>
    <t>Framing Nails</t>
  </si>
  <si>
    <t>Paint</t>
  </si>
  <si>
    <t>Blue</t>
  </si>
  <si>
    <t>Orange</t>
  </si>
  <si>
    <t>Red</t>
  </si>
  <si>
    <t>Purple</t>
  </si>
  <si>
    <t>Green</t>
  </si>
  <si>
    <t>Wrap</t>
  </si>
  <si>
    <t>6'</t>
  </si>
  <si>
    <t>8'</t>
  </si>
  <si>
    <t>2X4</t>
  </si>
  <si>
    <t>1X8</t>
  </si>
  <si>
    <t>Cardboard</t>
  </si>
  <si>
    <t>Masonite</t>
  </si>
  <si>
    <t>3/4 Foam Sht</t>
  </si>
  <si>
    <t>Monkey Fur</t>
  </si>
  <si>
    <t>Silver</t>
  </si>
  <si>
    <t>Dry Gusset</t>
  </si>
  <si>
    <t>&amp;1/2crate</t>
  </si>
  <si>
    <t>C4 Gusset</t>
  </si>
  <si>
    <t>crate</t>
  </si>
  <si>
    <t>Dry Clip</t>
  </si>
  <si>
    <t>Edge Binder</t>
  </si>
  <si>
    <t>Sp Niet 4X18/K15</t>
  </si>
  <si>
    <t>Tw-S-D13 5,5X29</t>
  </si>
  <si>
    <t>Tu-S-6X13-A4</t>
  </si>
  <si>
    <t>Tw-S-D13 5,5X38</t>
  </si>
  <si>
    <t>Tuf-S-6X12-A4</t>
  </si>
  <si>
    <t>795 Black</t>
  </si>
  <si>
    <t>791 Gray</t>
  </si>
  <si>
    <t>Plastic Wrap</t>
  </si>
  <si>
    <t>Flashing Tape</t>
  </si>
  <si>
    <t>Tu-S-6X11-A4</t>
  </si>
  <si>
    <t>Tw-S-D13 5,5 38</t>
  </si>
  <si>
    <t>Note</t>
  </si>
  <si>
    <t>Bright Silver</t>
  </si>
  <si>
    <t>Mill</t>
  </si>
  <si>
    <t>LOT</t>
  </si>
  <si>
    <t xml:space="preserve">Mill </t>
  </si>
  <si>
    <t>Zenor 29104</t>
  </si>
  <si>
    <t>Zenor 33132</t>
  </si>
  <si>
    <t>Tan</t>
  </si>
  <si>
    <t>Carat sapphire 7060</t>
  </si>
  <si>
    <t>Nobilis: Natura Gobit 381438</t>
  </si>
  <si>
    <t>Each Cost</t>
  </si>
  <si>
    <t>Total</t>
  </si>
  <si>
    <t>Adobe Brown</t>
  </si>
  <si>
    <t>Hunter Green</t>
  </si>
  <si>
    <t>Cyan</t>
  </si>
  <si>
    <t>Pink</t>
  </si>
  <si>
    <t>Yellow</t>
  </si>
  <si>
    <t>TRMAT</t>
  </si>
  <si>
    <t>Brown</t>
  </si>
  <si>
    <t>Sand</t>
  </si>
  <si>
    <t>Alucobond Plus</t>
  </si>
  <si>
    <t>Alpolic</t>
  </si>
  <si>
    <t>Reyobond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</si>
</sst>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charset val="1"/>
    </font>
    <font>
      <b/>
      <sz val="16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sz val="6"/>
      <name val="Yu Gothic"/>
      <family val="2"/>
      <charset val="128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3" borderId="0" xfId="0" applyFill="1"/>
    <xf numFmtId="0" fontId="7" fillId="3" borderId="0" xfId="0" applyFont="1" applyFill="1"/>
    <xf numFmtId="1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9" fillId="3" borderId="0" xfId="0" applyFont="1" applyFill="1"/>
    <xf numFmtId="1" fontId="9" fillId="3" borderId="0" xfId="0" applyNumberFormat="1" applyFont="1" applyFill="1"/>
    <xf numFmtId="44" fontId="0" fillId="0" borderId="0" xfId="0" applyNumberFormat="1"/>
    <xf numFmtId="0" fontId="0" fillId="0" borderId="3" xfId="0" applyBorder="1"/>
    <xf numFmtId="44" fontId="0" fillId="0" borderId="3" xfId="0" applyNumberFormat="1" applyBorder="1"/>
    <xf numFmtId="44" fontId="0" fillId="0" borderId="0" xfId="0" applyNumberFormat="1" applyAlignment="1">
      <alignment vertical="center"/>
    </xf>
    <xf numFmtId="0" fontId="0" fillId="0" borderId="2" xfId="0" applyBorder="1"/>
    <xf numFmtId="44" fontId="0" fillId="0" borderId="2" xfId="0" applyNumberFormat="1" applyBorder="1"/>
    <xf numFmtId="0" fontId="7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yna Aginska" id="{9A5E66AB-C89E-324E-ACCE-B40CCFCC67F6}" userId="Iryna Aginska" providerId="None"/>
  <person displayName="Brandon York" id="{57DF7F31-8294-C348-85FF-EE6FBAC5FFF4}" userId="S::byork@elward.com::fec9ff1f-4358-4b1c-a97e-d030d00e01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3" dT="2026-01-13T20:59:39.63" personId="{57DF7F31-8294-C348-85FF-EE6FBAC5FFF4}" id="{D9E6A139-521E-AE4F-BCFA-6B3CFEA7C583}">
    <text>The skid is empty</text>
  </threadedComment>
  <threadedComment ref="D25" dT="2026-01-13T20:57:55.04" personId="{57DF7F31-8294-C348-85FF-EE6FBAC5FFF4}" id="{B20878DB-D339-684D-88A4-FD2D67ABE501}">
    <text>This is the 62x196</text>
  </threadedComment>
  <threadedComment ref="E35" personId="{9A5E66AB-C89E-324E-ACCE-B40CCFCC67F6}" id="{79027D1D-5A33-F048-B34B-CE4C8C019BB8}">
    <text>Also we ordered 51" x 196"</text>
  </threadedComment>
  <threadedComment ref="E35" dT="2026-01-13T21:02:02.72" personId="{57DF7F31-8294-C348-85FF-EE6FBAC5FFF4}" id="{9B9DB6ED-D777-6543-8F3C-50DCA83FED10}" parentId="{79027D1D-5A33-F048-B34B-CE4C8C019BB8}">
    <text>This was incorrectly marked. It’s 24010 as I’ve changed it.</text>
  </threadedComment>
  <threadedComment ref="E146" personId="{9A5E66AB-C89E-324E-ACCE-B40CCFCC67F6}" id="{435222E1-A34F-5A47-B439-4D51015C830B}">
    <text>I might be 62" x 196" or 50" x 168"</text>
  </threadedComment>
  <threadedComment ref="E146" dT="2026-01-13T21:14:59.05" personId="{57DF7F31-8294-C348-85FF-EE6FBAC5FFF4}" id="{1A816618-C91C-2847-A46C-7550F161B878}" parentId="{435222E1-A34F-5A47-B439-4D51015C830B}">
    <text>50x168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22" customWidth="1"/>
    <col min="2" max="2" width="12" customWidth="1"/>
    <col min="3" max="3" width="15" customWidth="1"/>
    <col min="4" max="4" width="25" customWidth="1"/>
  </cols>
  <sheetData>
    <row r="1" spans="1:4" ht="20.25" x14ac:dyDescent="0.3">
      <c r="A1" s="23" t="s">
        <v>0</v>
      </c>
      <c r="B1" s="23"/>
      <c r="C1" s="23"/>
      <c r="D1" s="23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>
        <f>COUNTA(Extrusion_Totals!A:A)-1</f>
        <v>111</v>
      </c>
      <c r="C4" s="3">
        <f>SUM(Extrusion_Totals!D:D)</f>
        <v>29967</v>
      </c>
      <c r="D4" s="3"/>
    </row>
    <row r="5" spans="1:4" x14ac:dyDescent="0.25">
      <c r="A5" s="2" t="s">
        <v>6</v>
      </c>
      <c r="B5" s="3">
        <f>COUNTA(ACM_Inventory!A:A)-1</f>
        <v>188</v>
      </c>
      <c r="C5" s="3">
        <f>SUM(ACM_Inventory!H:H)</f>
        <v>3733</v>
      </c>
      <c r="D5" s="3"/>
    </row>
    <row r="6" spans="1:4" x14ac:dyDescent="0.25">
      <c r="A6" s="2" t="s">
        <v>7</v>
      </c>
      <c r="B6" s="3">
        <f>COUNTA(SPL_inventory!A:A)-1</f>
        <v>157</v>
      </c>
      <c r="C6" s="3">
        <f>SUM(SPL_inventory!H:H)</f>
        <v>3468</v>
      </c>
      <c r="D6" s="3"/>
    </row>
    <row r="7" spans="1:4" x14ac:dyDescent="0.25">
      <c r="A7" s="2" t="s">
        <v>8</v>
      </c>
      <c r="B7" s="3">
        <f>COUNTA(Rivet_Inventory!A:A)-1</f>
        <v>85</v>
      </c>
      <c r="C7" s="3">
        <f>SUM(Rivet_Inventory!D:D)</f>
        <v>631250</v>
      </c>
      <c r="D7" s="3"/>
    </row>
    <row r="8" spans="1:4" x14ac:dyDescent="0.25">
      <c r="A8" s="2" t="s">
        <v>9</v>
      </c>
      <c r="B8" s="3">
        <f>COUNTA(Misc_Inventory!A:A)-1</f>
        <v>36</v>
      </c>
      <c r="C8" s="3">
        <f>SUM(Misc_Inventory!E:E)</f>
        <v>58067.5</v>
      </c>
      <c r="D8" s="3"/>
    </row>
    <row r="10" spans="1:4" ht="15.75" x14ac:dyDescent="0.25">
      <c r="A10" s="4" t="s">
        <v>10</v>
      </c>
    </row>
    <row r="11" spans="1:4" x14ac:dyDescent="0.25">
      <c r="A11" t="s">
        <v>11</v>
      </c>
      <c r="B11">
        <f>COUNTA(DRY_PER_Black_Silver!A:A)-2</f>
        <v>146</v>
      </c>
      <c r="C11">
        <f>SUM(DRY_PER_Black_Silver!E:E)</f>
        <v>27672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9"/>
  <sheetViews>
    <sheetView topLeftCell="A43" zoomScaleNormal="100" workbookViewId="0">
      <selection activeCell="B344" sqref="B344"/>
    </sheetView>
  </sheetViews>
  <sheetFormatPr defaultColWidth="8.7109375" defaultRowHeight="15" x14ac:dyDescent="0.25"/>
  <cols>
    <col min="1" max="1" width="18" customWidth="1"/>
    <col min="2" max="2" width="16.140625" bestFit="1" customWidth="1"/>
    <col min="3" max="3" width="8.5703125" bestFit="1" customWidth="1"/>
    <col min="4" max="4" width="10.140625" bestFit="1" customWidth="1"/>
    <col min="5" max="5" width="20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</v>
      </c>
      <c r="E1" s="6"/>
    </row>
    <row r="2" spans="1:5" x14ac:dyDescent="0.25">
      <c r="A2" t="s">
        <v>15</v>
      </c>
      <c r="B2" t="s">
        <v>16</v>
      </c>
      <c r="C2" t="s">
        <v>17</v>
      </c>
      <c r="D2" t="s">
        <v>18</v>
      </c>
    </row>
    <row r="3" spans="1:5" x14ac:dyDescent="0.25">
      <c r="A3" t="s">
        <v>19</v>
      </c>
      <c r="B3" t="s">
        <v>16</v>
      </c>
      <c r="C3" t="s">
        <v>20</v>
      </c>
      <c r="D3" t="s">
        <v>18</v>
      </c>
    </row>
    <row r="4" spans="1:5" x14ac:dyDescent="0.25">
      <c r="A4" t="s">
        <v>21</v>
      </c>
      <c r="B4" t="s">
        <v>16</v>
      </c>
      <c r="C4" t="s">
        <v>22</v>
      </c>
      <c r="D4" t="s">
        <v>18</v>
      </c>
    </row>
    <row r="5" spans="1:5" x14ac:dyDescent="0.25">
      <c r="A5" t="s">
        <v>23</v>
      </c>
      <c r="B5" t="s">
        <v>16</v>
      </c>
      <c r="C5" t="s">
        <v>24</v>
      </c>
      <c r="D5" t="s">
        <v>18</v>
      </c>
    </row>
    <row r="6" spans="1:5" x14ac:dyDescent="0.25">
      <c r="A6" t="s">
        <v>25</v>
      </c>
      <c r="B6" t="s">
        <v>26</v>
      </c>
      <c r="C6" t="s">
        <v>17</v>
      </c>
      <c r="D6" t="s">
        <v>18</v>
      </c>
    </row>
    <row r="7" spans="1:5" x14ac:dyDescent="0.25">
      <c r="A7" t="s">
        <v>27</v>
      </c>
      <c r="B7" t="s">
        <v>26</v>
      </c>
      <c r="C7" t="s">
        <v>20</v>
      </c>
      <c r="D7" t="s">
        <v>18</v>
      </c>
    </row>
    <row r="8" spans="1:5" x14ac:dyDescent="0.25">
      <c r="A8" t="s">
        <v>28</v>
      </c>
      <c r="B8" t="s">
        <v>26</v>
      </c>
      <c r="C8" t="s">
        <v>22</v>
      </c>
      <c r="D8" t="s">
        <v>18</v>
      </c>
    </row>
    <row r="9" spans="1:5" x14ac:dyDescent="0.25">
      <c r="A9" t="s">
        <v>29</v>
      </c>
      <c r="B9" t="s">
        <v>26</v>
      </c>
      <c r="C9" t="s">
        <v>24</v>
      </c>
      <c r="D9" t="s">
        <v>18</v>
      </c>
    </row>
    <row r="10" spans="1:5" x14ac:dyDescent="0.25">
      <c r="A10" t="s">
        <v>30</v>
      </c>
      <c r="B10" t="s">
        <v>31</v>
      </c>
      <c r="C10" t="s">
        <v>17</v>
      </c>
      <c r="D10" t="s">
        <v>18</v>
      </c>
    </row>
    <row r="11" spans="1:5" x14ac:dyDescent="0.25">
      <c r="A11" t="s">
        <v>32</v>
      </c>
      <c r="B11" t="s">
        <v>31</v>
      </c>
      <c r="C11" t="s">
        <v>20</v>
      </c>
      <c r="D11" t="s">
        <v>18</v>
      </c>
    </row>
    <row r="12" spans="1:5" x14ac:dyDescent="0.25">
      <c r="A12" t="s">
        <v>33</v>
      </c>
      <c r="B12" t="s">
        <v>31</v>
      </c>
      <c r="C12" t="s">
        <v>22</v>
      </c>
      <c r="D12" t="s">
        <v>18</v>
      </c>
    </row>
    <row r="13" spans="1:5" x14ac:dyDescent="0.25">
      <c r="A13" t="s">
        <v>34</v>
      </c>
      <c r="B13" t="s">
        <v>31</v>
      </c>
      <c r="C13" t="s">
        <v>24</v>
      </c>
      <c r="D13" t="s">
        <v>18</v>
      </c>
    </row>
    <row r="14" spans="1:5" x14ac:dyDescent="0.25">
      <c r="A14" t="s">
        <v>35</v>
      </c>
      <c r="B14" t="s">
        <v>36</v>
      </c>
      <c r="C14" t="s">
        <v>17</v>
      </c>
      <c r="D14" t="s">
        <v>18</v>
      </c>
    </row>
    <row r="15" spans="1:5" x14ac:dyDescent="0.25">
      <c r="A15" t="s">
        <v>37</v>
      </c>
      <c r="B15" t="s">
        <v>36</v>
      </c>
      <c r="C15" t="s">
        <v>20</v>
      </c>
      <c r="D15" t="s">
        <v>18</v>
      </c>
    </row>
    <row r="16" spans="1:5" x14ac:dyDescent="0.25">
      <c r="A16" t="s">
        <v>38</v>
      </c>
      <c r="B16" t="s">
        <v>36</v>
      </c>
      <c r="C16" t="s">
        <v>22</v>
      </c>
      <c r="D16" t="s">
        <v>18</v>
      </c>
    </row>
    <row r="17" spans="1:4" x14ac:dyDescent="0.25">
      <c r="A17" t="s">
        <v>39</v>
      </c>
      <c r="B17" t="s">
        <v>36</v>
      </c>
      <c r="C17" t="s">
        <v>24</v>
      </c>
      <c r="D17" t="s">
        <v>18</v>
      </c>
    </row>
    <row r="18" spans="1:4" x14ac:dyDescent="0.25">
      <c r="A18" t="s">
        <v>40</v>
      </c>
      <c r="B18" t="s">
        <v>41</v>
      </c>
      <c r="C18" t="s">
        <v>17</v>
      </c>
      <c r="D18" t="s">
        <v>18</v>
      </c>
    </row>
    <row r="19" spans="1:4" x14ac:dyDescent="0.25">
      <c r="A19" t="s">
        <v>42</v>
      </c>
      <c r="B19" t="s">
        <v>41</v>
      </c>
      <c r="C19" t="s">
        <v>20</v>
      </c>
      <c r="D19" t="s">
        <v>18</v>
      </c>
    </row>
    <row r="20" spans="1:4" x14ac:dyDescent="0.25">
      <c r="A20" t="s">
        <v>43</v>
      </c>
      <c r="B20" t="s">
        <v>41</v>
      </c>
      <c r="C20" t="s">
        <v>22</v>
      </c>
      <c r="D20" t="s">
        <v>18</v>
      </c>
    </row>
    <row r="21" spans="1:4" x14ac:dyDescent="0.25">
      <c r="A21" t="s">
        <v>44</v>
      </c>
      <c r="B21" t="s">
        <v>41</v>
      </c>
      <c r="C21" t="s">
        <v>24</v>
      </c>
      <c r="D21" t="s">
        <v>18</v>
      </c>
    </row>
    <row r="22" spans="1:4" x14ac:dyDescent="0.25">
      <c r="A22" t="s">
        <v>45</v>
      </c>
      <c r="B22" t="s">
        <v>46</v>
      </c>
      <c r="C22" t="s">
        <v>17</v>
      </c>
      <c r="D22" t="s">
        <v>18</v>
      </c>
    </row>
    <row r="23" spans="1:4" x14ac:dyDescent="0.25">
      <c r="A23" t="s">
        <v>47</v>
      </c>
      <c r="B23" t="s">
        <v>46</v>
      </c>
      <c r="C23" t="s">
        <v>20</v>
      </c>
      <c r="D23" t="s">
        <v>18</v>
      </c>
    </row>
    <row r="24" spans="1:4" x14ac:dyDescent="0.25">
      <c r="A24" t="s">
        <v>48</v>
      </c>
      <c r="B24" t="s">
        <v>46</v>
      </c>
      <c r="C24" t="s">
        <v>22</v>
      </c>
      <c r="D24" t="s">
        <v>18</v>
      </c>
    </row>
    <row r="25" spans="1:4" x14ac:dyDescent="0.25">
      <c r="A25" t="s">
        <v>49</v>
      </c>
      <c r="B25" t="s">
        <v>46</v>
      </c>
      <c r="C25" t="s">
        <v>24</v>
      </c>
      <c r="D25" t="s">
        <v>18</v>
      </c>
    </row>
    <row r="26" spans="1:4" x14ac:dyDescent="0.25">
      <c r="A26" t="s">
        <v>50</v>
      </c>
      <c r="B26" t="s">
        <v>51</v>
      </c>
      <c r="C26" t="s">
        <v>17</v>
      </c>
      <c r="D26" t="s">
        <v>18</v>
      </c>
    </row>
    <row r="27" spans="1:4" x14ac:dyDescent="0.25">
      <c r="A27" t="s">
        <v>52</v>
      </c>
      <c r="B27" t="s">
        <v>51</v>
      </c>
      <c r="C27" t="s">
        <v>20</v>
      </c>
      <c r="D27" t="s">
        <v>18</v>
      </c>
    </row>
    <row r="28" spans="1:4" x14ac:dyDescent="0.25">
      <c r="A28" t="s">
        <v>53</v>
      </c>
      <c r="B28" t="s">
        <v>51</v>
      </c>
      <c r="C28" t="s">
        <v>22</v>
      </c>
      <c r="D28" t="s">
        <v>18</v>
      </c>
    </row>
    <row r="29" spans="1:4" x14ac:dyDescent="0.25">
      <c r="A29" t="s">
        <v>54</v>
      </c>
      <c r="B29" t="s">
        <v>51</v>
      </c>
      <c r="C29" t="s">
        <v>24</v>
      </c>
      <c r="D29" t="s">
        <v>18</v>
      </c>
    </row>
    <row r="30" spans="1:4" x14ac:dyDescent="0.25">
      <c r="A30" t="s">
        <v>55</v>
      </c>
      <c r="B30" t="s">
        <v>56</v>
      </c>
      <c r="C30" t="s">
        <v>17</v>
      </c>
      <c r="D30" t="s">
        <v>18</v>
      </c>
    </row>
    <row r="31" spans="1:4" x14ac:dyDescent="0.25">
      <c r="A31" t="s">
        <v>57</v>
      </c>
      <c r="B31" t="s">
        <v>56</v>
      </c>
      <c r="C31" t="s">
        <v>20</v>
      </c>
      <c r="D31" t="s">
        <v>18</v>
      </c>
    </row>
    <row r="32" spans="1:4" x14ac:dyDescent="0.25">
      <c r="A32" t="s">
        <v>58</v>
      </c>
      <c r="B32" t="s">
        <v>56</v>
      </c>
      <c r="C32" t="s">
        <v>22</v>
      </c>
      <c r="D32" t="s">
        <v>18</v>
      </c>
    </row>
    <row r="33" spans="1:4" x14ac:dyDescent="0.25">
      <c r="A33" t="s">
        <v>59</v>
      </c>
      <c r="B33" t="s">
        <v>56</v>
      </c>
      <c r="C33" t="s">
        <v>24</v>
      </c>
      <c r="D33" t="s">
        <v>18</v>
      </c>
    </row>
    <row r="34" spans="1:4" x14ac:dyDescent="0.25">
      <c r="A34" t="s">
        <v>60</v>
      </c>
      <c r="B34" t="s">
        <v>61</v>
      </c>
      <c r="C34" t="s">
        <v>17</v>
      </c>
      <c r="D34" t="s">
        <v>18</v>
      </c>
    </row>
    <row r="35" spans="1:4" x14ac:dyDescent="0.25">
      <c r="A35" t="s">
        <v>62</v>
      </c>
      <c r="B35" t="s">
        <v>61</v>
      </c>
      <c r="C35" t="s">
        <v>20</v>
      </c>
      <c r="D35" t="s">
        <v>18</v>
      </c>
    </row>
    <row r="36" spans="1:4" x14ac:dyDescent="0.25">
      <c r="A36" t="s">
        <v>63</v>
      </c>
      <c r="B36" t="s">
        <v>61</v>
      </c>
      <c r="C36" t="s">
        <v>22</v>
      </c>
      <c r="D36" t="s">
        <v>18</v>
      </c>
    </row>
    <row r="37" spans="1:4" x14ac:dyDescent="0.25">
      <c r="A37" t="s">
        <v>64</v>
      </c>
      <c r="B37" t="s">
        <v>61</v>
      </c>
      <c r="C37" t="s">
        <v>24</v>
      </c>
      <c r="D37" t="s">
        <v>18</v>
      </c>
    </row>
    <row r="38" spans="1:4" x14ac:dyDescent="0.25">
      <c r="A38" t="s">
        <v>65</v>
      </c>
      <c r="B38" t="s">
        <v>66</v>
      </c>
      <c r="C38" t="s">
        <v>17</v>
      </c>
      <c r="D38" t="s">
        <v>18</v>
      </c>
    </row>
    <row r="39" spans="1:4" x14ac:dyDescent="0.25">
      <c r="A39" t="s">
        <v>67</v>
      </c>
      <c r="B39" t="s">
        <v>66</v>
      </c>
      <c r="C39" t="s">
        <v>20</v>
      </c>
      <c r="D39" t="s">
        <v>18</v>
      </c>
    </row>
    <row r="40" spans="1:4" x14ac:dyDescent="0.25">
      <c r="A40" t="s">
        <v>68</v>
      </c>
      <c r="B40" t="s">
        <v>66</v>
      </c>
      <c r="C40" t="s">
        <v>22</v>
      </c>
      <c r="D40" t="s">
        <v>18</v>
      </c>
    </row>
    <row r="41" spans="1:4" x14ac:dyDescent="0.25">
      <c r="A41" t="s">
        <v>69</v>
      </c>
      <c r="B41" t="s">
        <v>66</v>
      </c>
      <c r="C41" t="s">
        <v>24</v>
      </c>
      <c r="D41" t="s">
        <v>18</v>
      </c>
    </row>
    <row r="42" spans="1:4" x14ac:dyDescent="0.25">
      <c r="A42" t="s">
        <v>70</v>
      </c>
      <c r="B42" t="s">
        <v>71</v>
      </c>
      <c r="C42" t="s">
        <v>17</v>
      </c>
      <c r="D42" t="s">
        <v>18</v>
      </c>
    </row>
    <row r="43" spans="1:4" x14ac:dyDescent="0.25">
      <c r="A43" t="s">
        <v>72</v>
      </c>
      <c r="B43" t="s">
        <v>71</v>
      </c>
      <c r="C43" t="s">
        <v>20</v>
      </c>
      <c r="D43" t="s">
        <v>18</v>
      </c>
    </row>
    <row r="44" spans="1:4" x14ac:dyDescent="0.25">
      <c r="A44" t="s">
        <v>73</v>
      </c>
      <c r="B44" t="s">
        <v>71</v>
      </c>
      <c r="C44" t="s">
        <v>22</v>
      </c>
      <c r="D44" t="s">
        <v>18</v>
      </c>
    </row>
    <row r="45" spans="1:4" x14ac:dyDescent="0.25">
      <c r="A45" t="s">
        <v>74</v>
      </c>
      <c r="B45" t="s">
        <v>71</v>
      </c>
      <c r="C45" t="s">
        <v>24</v>
      </c>
      <c r="D45" t="s">
        <v>18</v>
      </c>
    </row>
    <row r="46" spans="1:4" x14ac:dyDescent="0.25">
      <c r="A46" t="s">
        <v>75</v>
      </c>
      <c r="B46" t="s">
        <v>76</v>
      </c>
      <c r="C46" t="s">
        <v>17</v>
      </c>
      <c r="D46" t="s">
        <v>18</v>
      </c>
    </row>
    <row r="47" spans="1:4" x14ac:dyDescent="0.25">
      <c r="A47" t="s">
        <v>77</v>
      </c>
      <c r="B47" t="s">
        <v>76</v>
      </c>
      <c r="C47" t="s">
        <v>20</v>
      </c>
      <c r="D47" t="s">
        <v>18</v>
      </c>
    </row>
    <row r="48" spans="1:4" x14ac:dyDescent="0.25">
      <c r="A48" t="s">
        <v>78</v>
      </c>
      <c r="B48" t="s">
        <v>76</v>
      </c>
      <c r="C48" t="s">
        <v>22</v>
      </c>
      <c r="D48" t="s">
        <v>18</v>
      </c>
    </row>
    <row r="49" spans="1:4" x14ac:dyDescent="0.25">
      <c r="A49" t="s">
        <v>79</v>
      </c>
      <c r="B49" t="s">
        <v>76</v>
      </c>
      <c r="C49" t="s">
        <v>24</v>
      </c>
      <c r="D49" t="s">
        <v>18</v>
      </c>
    </row>
    <row r="50" spans="1:4" x14ac:dyDescent="0.25">
      <c r="A50" t="s">
        <v>80</v>
      </c>
      <c r="B50" t="s">
        <v>81</v>
      </c>
      <c r="C50" t="s">
        <v>17</v>
      </c>
      <c r="D50" t="s">
        <v>18</v>
      </c>
    </row>
    <row r="51" spans="1:4" x14ac:dyDescent="0.25">
      <c r="A51" t="s">
        <v>82</v>
      </c>
      <c r="B51" t="s">
        <v>81</v>
      </c>
      <c r="C51" t="s">
        <v>20</v>
      </c>
      <c r="D51" t="s">
        <v>18</v>
      </c>
    </row>
    <row r="52" spans="1:4" x14ac:dyDescent="0.25">
      <c r="A52" t="s">
        <v>83</v>
      </c>
      <c r="B52" t="s">
        <v>81</v>
      </c>
      <c r="C52" t="s">
        <v>22</v>
      </c>
      <c r="D52" t="s">
        <v>18</v>
      </c>
    </row>
    <row r="53" spans="1:4" x14ac:dyDescent="0.25">
      <c r="A53" t="s">
        <v>84</v>
      </c>
      <c r="B53" t="s">
        <v>81</v>
      </c>
      <c r="C53" t="s">
        <v>24</v>
      </c>
      <c r="D53" t="s">
        <v>18</v>
      </c>
    </row>
    <row r="54" spans="1:4" x14ac:dyDescent="0.25">
      <c r="A54" t="s">
        <v>85</v>
      </c>
      <c r="B54" t="s">
        <v>86</v>
      </c>
      <c r="C54" t="s">
        <v>17</v>
      </c>
      <c r="D54" t="s">
        <v>18</v>
      </c>
    </row>
    <row r="55" spans="1:4" x14ac:dyDescent="0.25">
      <c r="A55" t="s">
        <v>87</v>
      </c>
      <c r="B55" t="s">
        <v>86</v>
      </c>
      <c r="C55" t="s">
        <v>20</v>
      </c>
      <c r="D55" t="s">
        <v>18</v>
      </c>
    </row>
    <row r="56" spans="1:4" x14ac:dyDescent="0.25">
      <c r="A56" t="s">
        <v>88</v>
      </c>
      <c r="B56" t="s">
        <v>86</v>
      </c>
      <c r="C56" t="s">
        <v>22</v>
      </c>
      <c r="D56" t="s">
        <v>18</v>
      </c>
    </row>
    <row r="57" spans="1:4" x14ac:dyDescent="0.25">
      <c r="A57" t="s">
        <v>89</v>
      </c>
      <c r="B57" t="s">
        <v>86</v>
      </c>
      <c r="C57" t="s">
        <v>24</v>
      </c>
      <c r="D57" t="s">
        <v>18</v>
      </c>
    </row>
    <row r="58" spans="1:4" x14ac:dyDescent="0.25">
      <c r="A58" t="s">
        <v>90</v>
      </c>
      <c r="B58" t="s">
        <v>91</v>
      </c>
      <c r="C58" t="s">
        <v>17</v>
      </c>
      <c r="D58" t="s">
        <v>18</v>
      </c>
    </row>
    <row r="59" spans="1:4" x14ac:dyDescent="0.25">
      <c r="A59" t="s">
        <v>92</v>
      </c>
      <c r="B59" t="s">
        <v>91</v>
      </c>
      <c r="C59" t="s">
        <v>20</v>
      </c>
      <c r="D59" t="s">
        <v>18</v>
      </c>
    </row>
    <row r="60" spans="1:4" x14ac:dyDescent="0.25">
      <c r="A60" t="s">
        <v>93</v>
      </c>
      <c r="B60" t="s">
        <v>91</v>
      </c>
      <c r="C60" t="s">
        <v>22</v>
      </c>
      <c r="D60" t="s">
        <v>18</v>
      </c>
    </row>
    <row r="61" spans="1:4" x14ac:dyDescent="0.25">
      <c r="A61" t="s">
        <v>94</v>
      </c>
      <c r="B61" t="s">
        <v>91</v>
      </c>
      <c r="C61" t="s">
        <v>24</v>
      </c>
      <c r="D61" t="s">
        <v>18</v>
      </c>
    </row>
    <row r="62" spans="1:4" x14ac:dyDescent="0.25">
      <c r="A62" t="s">
        <v>95</v>
      </c>
      <c r="B62" t="s">
        <v>96</v>
      </c>
      <c r="C62" t="s">
        <v>17</v>
      </c>
      <c r="D62" t="s">
        <v>18</v>
      </c>
    </row>
    <row r="63" spans="1:4" x14ac:dyDescent="0.25">
      <c r="A63" t="s">
        <v>97</v>
      </c>
      <c r="B63" t="s">
        <v>96</v>
      </c>
      <c r="C63" t="s">
        <v>20</v>
      </c>
      <c r="D63" t="s">
        <v>18</v>
      </c>
    </row>
    <row r="64" spans="1:4" x14ac:dyDescent="0.25">
      <c r="A64" t="s">
        <v>98</v>
      </c>
      <c r="B64" t="s">
        <v>96</v>
      </c>
      <c r="C64" t="s">
        <v>22</v>
      </c>
      <c r="D64" t="s">
        <v>18</v>
      </c>
    </row>
    <row r="65" spans="1:4" x14ac:dyDescent="0.25">
      <c r="A65" t="s">
        <v>99</v>
      </c>
      <c r="B65" t="s">
        <v>96</v>
      </c>
      <c r="C65" t="s">
        <v>24</v>
      </c>
      <c r="D65" t="s">
        <v>18</v>
      </c>
    </row>
    <row r="66" spans="1:4" x14ac:dyDescent="0.25">
      <c r="A66" t="s">
        <v>100</v>
      </c>
      <c r="B66" t="s">
        <v>101</v>
      </c>
      <c r="C66" t="s">
        <v>17</v>
      </c>
      <c r="D66" t="s">
        <v>18</v>
      </c>
    </row>
    <row r="67" spans="1:4" x14ac:dyDescent="0.25">
      <c r="A67" t="s">
        <v>102</v>
      </c>
      <c r="B67" t="s">
        <v>101</v>
      </c>
      <c r="C67" t="s">
        <v>20</v>
      </c>
      <c r="D67" t="s">
        <v>18</v>
      </c>
    </row>
    <row r="68" spans="1:4" x14ac:dyDescent="0.25">
      <c r="A68" t="s">
        <v>103</v>
      </c>
      <c r="B68" t="s">
        <v>101</v>
      </c>
      <c r="C68" t="s">
        <v>22</v>
      </c>
      <c r="D68" t="s">
        <v>18</v>
      </c>
    </row>
    <row r="69" spans="1:4" x14ac:dyDescent="0.25">
      <c r="A69" t="s">
        <v>104</v>
      </c>
      <c r="B69" t="s">
        <v>101</v>
      </c>
      <c r="C69" t="s">
        <v>24</v>
      </c>
      <c r="D69" t="s">
        <v>18</v>
      </c>
    </row>
    <row r="70" spans="1:4" x14ac:dyDescent="0.25">
      <c r="A70" t="s">
        <v>105</v>
      </c>
      <c r="B70" t="s">
        <v>106</v>
      </c>
      <c r="C70" t="s">
        <v>17</v>
      </c>
      <c r="D70" t="s">
        <v>18</v>
      </c>
    </row>
    <row r="71" spans="1:4" x14ac:dyDescent="0.25">
      <c r="A71" t="s">
        <v>107</v>
      </c>
      <c r="B71" t="s">
        <v>106</v>
      </c>
      <c r="C71" t="s">
        <v>20</v>
      </c>
      <c r="D71" t="s">
        <v>18</v>
      </c>
    </row>
    <row r="72" spans="1:4" x14ac:dyDescent="0.25">
      <c r="A72" t="s">
        <v>108</v>
      </c>
      <c r="B72" t="s">
        <v>106</v>
      </c>
      <c r="C72" t="s">
        <v>22</v>
      </c>
      <c r="D72" t="s">
        <v>18</v>
      </c>
    </row>
    <row r="73" spans="1:4" x14ac:dyDescent="0.25">
      <c r="A73" t="s">
        <v>109</v>
      </c>
      <c r="B73" t="s">
        <v>106</v>
      </c>
      <c r="C73" t="s">
        <v>24</v>
      </c>
      <c r="D73" t="s">
        <v>18</v>
      </c>
    </row>
    <row r="74" spans="1:4" x14ac:dyDescent="0.25">
      <c r="A74" t="s">
        <v>110</v>
      </c>
      <c r="B74" t="s">
        <v>111</v>
      </c>
      <c r="C74" t="s">
        <v>17</v>
      </c>
      <c r="D74" t="s">
        <v>18</v>
      </c>
    </row>
    <row r="75" spans="1:4" x14ac:dyDescent="0.25">
      <c r="A75" t="s">
        <v>112</v>
      </c>
      <c r="B75" t="s">
        <v>111</v>
      </c>
      <c r="C75" t="s">
        <v>20</v>
      </c>
      <c r="D75" t="s">
        <v>18</v>
      </c>
    </row>
    <row r="76" spans="1:4" x14ac:dyDescent="0.25">
      <c r="A76" t="s">
        <v>113</v>
      </c>
      <c r="B76" t="s">
        <v>111</v>
      </c>
      <c r="C76" t="s">
        <v>22</v>
      </c>
      <c r="D76" t="s">
        <v>18</v>
      </c>
    </row>
    <row r="77" spans="1:4" x14ac:dyDescent="0.25">
      <c r="A77" t="s">
        <v>114</v>
      </c>
      <c r="B77" t="s">
        <v>111</v>
      </c>
      <c r="C77" t="s">
        <v>24</v>
      </c>
      <c r="D77" t="s">
        <v>18</v>
      </c>
    </row>
    <row r="78" spans="1:4" x14ac:dyDescent="0.25">
      <c r="A78" t="s">
        <v>115</v>
      </c>
      <c r="B78" t="s">
        <v>116</v>
      </c>
      <c r="C78" t="s">
        <v>17</v>
      </c>
      <c r="D78" t="s">
        <v>18</v>
      </c>
    </row>
    <row r="79" spans="1:4" x14ac:dyDescent="0.25">
      <c r="A79" t="s">
        <v>117</v>
      </c>
      <c r="B79" t="s">
        <v>116</v>
      </c>
      <c r="C79" t="s">
        <v>20</v>
      </c>
      <c r="D79" t="s">
        <v>18</v>
      </c>
    </row>
    <row r="80" spans="1:4" x14ac:dyDescent="0.25">
      <c r="A80" t="s">
        <v>118</v>
      </c>
      <c r="B80" t="s">
        <v>116</v>
      </c>
      <c r="C80" t="s">
        <v>22</v>
      </c>
      <c r="D80" t="s">
        <v>18</v>
      </c>
    </row>
    <row r="81" spans="1:4" x14ac:dyDescent="0.25">
      <c r="A81" t="s">
        <v>119</v>
      </c>
      <c r="B81" t="s">
        <v>116</v>
      </c>
      <c r="C81" t="s">
        <v>24</v>
      </c>
      <c r="D81" t="s">
        <v>18</v>
      </c>
    </row>
    <row r="82" spans="1:4" x14ac:dyDescent="0.25">
      <c r="A82" t="s">
        <v>120</v>
      </c>
      <c r="B82" t="s">
        <v>121</v>
      </c>
      <c r="C82" t="s">
        <v>17</v>
      </c>
      <c r="D82" t="s">
        <v>18</v>
      </c>
    </row>
    <row r="83" spans="1:4" x14ac:dyDescent="0.25">
      <c r="A83" t="s">
        <v>122</v>
      </c>
      <c r="B83" t="s">
        <v>121</v>
      </c>
      <c r="C83" t="s">
        <v>20</v>
      </c>
      <c r="D83" t="s">
        <v>18</v>
      </c>
    </row>
    <row r="84" spans="1:4" x14ac:dyDescent="0.25">
      <c r="A84" t="s">
        <v>123</v>
      </c>
      <c r="B84" t="s">
        <v>121</v>
      </c>
      <c r="C84" t="s">
        <v>22</v>
      </c>
      <c r="D84" t="s">
        <v>18</v>
      </c>
    </row>
    <row r="85" spans="1:4" x14ac:dyDescent="0.25">
      <c r="A85" t="s">
        <v>124</v>
      </c>
      <c r="B85" t="s">
        <v>121</v>
      </c>
      <c r="C85" t="s">
        <v>24</v>
      </c>
      <c r="D85" t="s">
        <v>18</v>
      </c>
    </row>
    <row r="86" spans="1:4" x14ac:dyDescent="0.25">
      <c r="A86" t="s">
        <v>125</v>
      </c>
      <c r="B86" t="s">
        <v>126</v>
      </c>
      <c r="C86" t="s">
        <v>17</v>
      </c>
      <c r="D86" t="s">
        <v>18</v>
      </c>
    </row>
    <row r="87" spans="1:4" x14ac:dyDescent="0.25">
      <c r="A87" t="s">
        <v>127</v>
      </c>
      <c r="B87" t="s">
        <v>126</v>
      </c>
      <c r="C87" t="s">
        <v>20</v>
      </c>
      <c r="D87" t="s">
        <v>18</v>
      </c>
    </row>
    <row r="88" spans="1:4" x14ac:dyDescent="0.25">
      <c r="A88" t="s">
        <v>128</v>
      </c>
      <c r="B88" t="s">
        <v>126</v>
      </c>
      <c r="C88" t="s">
        <v>22</v>
      </c>
      <c r="D88" t="s">
        <v>18</v>
      </c>
    </row>
    <row r="89" spans="1:4" x14ac:dyDescent="0.25">
      <c r="A89" t="s">
        <v>129</v>
      </c>
      <c r="B89" t="s">
        <v>126</v>
      </c>
      <c r="C89" t="s">
        <v>24</v>
      </c>
      <c r="D89" t="s">
        <v>18</v>
      </c>
    </row>
    <row r="90" spans="1:4" x14ac:dyDescent="0.25">
      <c r="A90" t="s">
        <v>130</v>
      </c>
      <c r="B90" t="s">
        <v>131</v>
      </c>
      <c r="C90" t="s">
        <v>17</v>
      </c>
      <c r="D90" t="s">
        <v>18</v>
      </c>
    </row>
    <row r="91" spans="1:4" x14ac:dyDescent="0.25">
      <c r="A91" t="s">
        <v>132</v>
      </c>
      <c r="B91" t="s">
        <v>131</v>
      </c>
      <c r="C91" t="s">
        <v>20</v>
      </c>
      <c r="D91" t="s">
        <v>18</v>
      </c>
    </row>
    <row r="92" spans="1:4" x14ac:dyDescent="0.25">
      <c r="A92" t="s">
        <v>133</v>
      </c>
      <c r="B92" t="s">
        <v>131</v>
      </c>
      <c r="C92" t="s">
        <v>22</v>
      </c>
      <c r="D92" t="s">
        <v>18</v>
      </c>
    </row>
    <row r="93" spans="1:4" x14ac:dyDescent="0.25">
      <c r="A93" t="s">
        <v>134</v>
      </c>
      <c r="B93" t="s">
        <v>131</v>
      </c>
      <c r="C93" t="s">
        <v>24</v>
      </c>
      <c r="D93" t="s">
        <v>18</v>
      </c>
    </row>
    <row r="94" spans="1:4" x14ac:dyDescent="0.25">
      <c r="A94" t="s">
        <v>135</v>
      </c>
      <c r="B94" t="s">
        <v>136</v>
      </c>
      <c r="C94" t="s">
        <v>17</v>
      </c>
      <c r="D94" t="s">
        <v>18</v>
      </c>
    </row>
    <row r="95" spans="1:4" x14ac:dyDescent="0.25">
      <c r="A95" t="s">
        <v>137</v>
      </c>
      <c r="B95" t="s">
        <v>136</v>
      </c>
      <c r="C95" t="s">
        <v>20</v>
      </c>
      <c r="D95" t="s">
        <v>18</v>
      </c>
    </row>
    <row r="96" spans="1:4" x14ac:dyDescent="0.25">
      <c r="A96" t="s">
        <v>138</v>
      </c>
      <c r="B96" t="s">
        <v>136</v>
      </c>
      <c r="C96" t="s">
        <v>22</v>
      </c>
      <c r="D96" t="s">
        <v>18</v>
      </c>
    </row>
    <row r="97" spans="1:4" x14ac:dyDescent="0.25">
      <c r="A97" t="s">
        <v>139</v>
      </c>
      <c r="B97" t="s">
        <v>136</v>
      </c>
      <c r="C97" t="s">
        <v>24</v>
      </c>
      <c r="D97" t="s">
        <v>18</v>
      </c>
    </row>
    <row r="98" spans="1:4" x14ac:dyDescent="0.25">
      <c r="A98" t="s">
        <v>140</v>
      </c>
      <c r="B98" t="s">
        <v>141</v>
      </c>
      <c r="C98" t="s">
        <v>17</v>
      </c>
      <c r="D98" t="s">
        <v>18</v>
      </c>
    </row>
    <row r="99" spans="1:4" x14ac:dyDescent="0.25">
      <c r="A99" t="s">
        <v>142</v>
      </c>
      <c r="B99" t="s">
        <v>141</v>
      </c>
      <c r="C99" t="s">
        <v>20</v>
      </c>
      <c r="D99" t="s">
        <v>18</v>
      </c>
    </row>
    <row r="100" spans="1:4" x14ac:dyDescent="0.25">
      <c r="A100" t="s">
        <v>143</v>
      </c>
      <c r="B100" t="s">
        <v>141</v>
      </c>
      <c r="C100" t="s">
        <v>22</v>
      </c>
      <c r="D100" t="s">
        <v>18</v>
      </c>
    </row>
    <row r="101" spans="1:4" x14ac:dyDescent="0.25">
      <c r="A101" t="s">
        <v>144</v>
      </c>
      <c r="B101" t="s">
        <v>141</v>
      </c>
      <c r="C101" t="s">
        <v>24</v>
      </c>
      <c r="D101" t="s">
        <v>18</v>
      </c>
    </row>
    <row r="102" spans="1:4" x14ac:dyDescent="0.25">
      <c r="A102" t="s">
        <v>145</v>
      </c>
      <c r="B102" t="s">
        <v>146</v>
      </c>
      <c r="C102" t="s">
        <v>17</v>
      </c>
      <c r="D102" t="s">
        <v>18</v>
      </c>
    </row>
    <row r="103" spans="1:4" x14ac:dyDescent="0.25">
      <c r="A103" t="s">
        <v>147</v>
      </c>
      <c r="B103" t="s">
        <v>146</v>
      </c>
      <c r="C103" t="s">
        <v>20</v>
      </c>
      <c r="D103" t="s">
        <v>18</v>
      </c>
    </row>
    <row r="104" spans="1:4" x14ac:dyDescent="0.25">
      <c r="A104" t="s">
        <v>148</v>
      </c>
      <c r="B104" t="s">
        <v>146</v>
      </c>
      <c r="C104" t="s">
        <v>22</v>
      </c>
      <c r="D104" t="s">
        <v>18</v>
      </c>
    </row>
    <row r="105" spans="1:4" x14ac:dyDescent="0.25">
      <c r="A105" t="s">
        <v>149</v>
      </c>
      <c r="B105" t="s">
        <v>146</v>
      </c>
      <c r="C105" t="s">
        <v>24</v>
      </c>
      <c r="D105" t="s">
        <v>18</v>
      </c>
    </row>
    <row r="106" spans="1:4" x14ac:dyDescent="0.25">
      <c r="A106" t="s">
        <v>150</v>
      </c>
      <c r="B106" t="s">
        <v>151</v>
      </c>
      <c r="C106" t="s">
        <v>17</v>
      </c>
      <c r="D106" t="s">
        <v>18</v>
      </c>
    </row>
    <row r="107" spans="1:4" x14ac:dyDescent="0.25">
      <c r="A107" t="s">
        <v>152</v>
      </c>
      <c r="B107" t="s">
        <v>151</v>
      </c>
      <c r="C107" t="s">
        <v>20</v>
      </c>
      <c r="D107" t="s">
        <v>18</v>
      </c>
    </row>
    <row r="108" spans="1:4" x14ac:dyDescent="0.25">
      <c r="A108" t="s">
        <v>153</v>
      </c>
      <c r="B108" t="s">
        <v>151</v>
      </c>
      <c r="C108" t="s">
        <v>22</v>
      </c>
      <c r="D108" t="s">
        <v>18</v>
      </c>
    </row>
    <row r="109" spans="1:4" x14ac:dyDescent="0.25">
      <c r="A109" t="s">
        <v>154</v>
      </c>
      <c r="B109" t="s">
        <v>151</v>
      </c>
      <c r="C109" t="s">
        <v>24</v>
      </c>
      <c r="D109" t="s">
        <v>18</v>
      </c>
    </row>
    <row r="110" spans="1:4" x14ac:dyDescent="0.25">
      <c r="A110" t="s">
        <v>155</v>
      </c>
      <c r="B110" t="s">
        <v>156</v>
      </c>
      <c r="C110" t="s">
        <v>17</v>
      </c>
      <c r="D110" t="s">
        <v>18</v>
      </c>
    </row>
    <row r="111" spans="1:4" x14ac:dyDescent="0.25">
      <c r="A111" t="s">
        <v>157</v>
      </c>
      <c r="B111" t="s">
        <v>156</v>
      </c>
      <c r="C111" t="s">
        <v>20</v>
      </c>
      <c r="D111" t="s">
        <v>18</v>
      </c>
    </row>
    <row r="112" spans="1:4" x14ac:dyDescent="0.25">
      <c r="A112" t="s">
        <v>158</v>
      </c>
      <c r="B112" t="s">
        <v>156</v>
      </c>
      <c r="C112" t="s">
        <v>22</v>
      </c>
      <c r="D112" t="s">
        <v>18</v>
      </c>
    </row>
    <row r="113" spans="1:4" x14ac:dyDescent="0.25">
      <c r="A113" t="s">
        <v>159</v>
      </c>
      <c r="B113" t="s">
        <v>156</v>
      </c>
      <c r="C113" t="s">
        <v>24</v>
      </c>
      <c r="D113" t="s">
        <v>18</v>
      </c>
    </row>
    <row r="114" spans="1:4" x14ac:dyDescent="0.25">
      <c r="A114" t="s">
        <v>160</v>
      </c>
      <c r="B114" t="s">
        <v>161</v>
      </c>
      <c r="C114" t="s">
        <v>17</v>
      </c>
      <c r="D114" t="s">
        <v>18</v>
      </c>
    </row>
    <row r="115" spans="1:4" x14ac:dyDescent="0.25">
      <c r="A115" t="s">
        <v>162</v>
      </c>
      <c r="B115" t="s">
        <v>161</v>
      </c>
      <c r="C115" t="s">
        <v>20</v>
      </c>
      <c r="D115" t="s">
        <v>18</v>
      </c>
    </row>
    <row r="116" spans="1:4" x14ac:dyDescent="0.25">
      <c r="A116" t="s">
        <v>163</v>
      </c>
      <c r="B116" t="s">
        <v>161</v>
      </c>
      <c r="C116" t="s">
        <v>22</v>
      </c>
      <c r="D116" t="s">
        <v>18</v>
      </c>
    </row>
    <row r="117" spans="1:4" x14ac:dyDescent="0.25">
      <c r="A117" t="s">
        <v>164</v>
      </c>
      <c r="B117" t="s">
        <v>161</v>
      </c>
      <c r="C117" t="s">
        <v>24</v>
      </c>
      <c r="D117" t="s">
        <v>18</v>
      </c>
    </row>
    <row r="118" spans="1:4" x14ac:dyDescent="0.25">
      <c r="A118" t="s">
        <v>165</v>
      </c>
      <c r="B118" t="s">
        <v>166</v>
      </c>
      <c r="C118" t="s">
        <v>17</v>
      </c>
      <c r="D118" t="s">
        <v>18</v>
      </c>
    </row>
    <row r="119" spans="1:4" x14ac:dyDescent="0.25">
      <c r="A119" t="s">
        <v>167</v>
      </c>
      <c r="B119" t="s">
        <v>166</v>
      </c>
      <c r="C119" t="s">
        <v>20</v>
      </c>
      <c r="D119" t="s">
        <v>18</v>
      </c>
    </row>
    <row r="120" spans="1:4" x14ac:dyDescent="0.25">
      <c r="A120" t="s">
        <v>168</v>
      </c>
      <c r="B120" t="s">
        <v>166</v>
      </c>
      <c r="C120" t="s">
        <v>22</v>
      </c>
      <c r="D120" t="s">
        <v>18</v>
      </c>
    </row>
    <row r="121" spans="1:4" x14ac:dyDescent="0.25">
      <c r="A121" t="s">
        <v>169</v>
      </c>
      <c r="B121" t="s">
        <v>166</v>
      </c>
      <c r="C121" t="s">
        <v>24</v>
      </c>
      <c r="D121" t="s">
        <v>18</v>
      </c>
    </row>
    <row r="122" spans="1:4" x14ac:dyDescent="0.25">
      <c r="A122" t="s">
        <v>170</v>
      </c>
      <c r="B122" t="s">
        <v>171</v>
      </c>
      <c r="C122" t="s">
        <v>17</v>
      </c>
      <c r="D122" t="s">
        <v>18</v>
      </c>
    </row>
    <row r="123" spans="1:4" x14ac:dyDescent="0.25">
      <c r="A123" t="s">
        <v>172</v>
      </c>
      <c r="B123" t="s">
        <v>171</v>
      </c>
      <c r="C123" t="s">
        <v>20</v>
      </c>
      <c r="D123" t="s">
        <v>18</v>
      </c>
    </row>
    <row r="124" spans="1:4" x14ac:dyDescent="0.25">
      <c r="A124" t="s">
        <v>173</v>
      </c>
      <c r="B124" t="s">
        <v>171</v>
      </c>
      <c r="C124" t="s">
        <v>22</v>
      </c>
      <c r="D124" t="s">
        <v>18</v>
      </c>
    </row>
    <row r="125" spans="1:4" x14ac:dyDescent="0.25">
      <c r="A125" t="s">
        <v>174</v>
      </c>
      <c r="B125" t="s">
        <v>171</v>
      </c>
      <c r="C125" t="s">
        <v>24</v>
      </c>
      <c r="D125" t="s">
        <v>18</v>
      </c>
    </row>
    <row r="126" spans="1:4" x14ac:dyDescent="0.25">
      <c r="A126" t="s">
        <v>175</v>
      </c>
      <c r="B126" t="s">
        <v>176</v>
      </c>
      <c r="C126" t="s">
        <v>17</v>
      </c>
      <c r="D126" t="s">
        <v>18</v>
      </c>
    </row>
    <row r="127" spans="1:4" x14ac:dyDescent="0.25">
      <c r="A127" t="s">
        <v>177</v>
      </c>
      <c r="B127" t="s">
        <v>176</v>
      </c>
      <c r="C127" t="s">
        <v>20</v>
      </c>
      <c r="D127" t="s">
        <v>18</v>
      </c>
    </row>
    <row r="128" spans="1:4" x14ac:dyDescent="0.25">
      <c r="A128" t="s">
        <v>178</v>
      </c>
      <c r="B128" t="s">
        <v>176</v>
      </c>
      <c r="C128" t="s">
        <v>22</v>
      </c>
      <c r="D128" t="s">
        <v>18</v>
      </c>
    </row>
    <row r="129" spans="1:4" x14ac:dyDescent="0.25">
      <c r="A129" t="s">
        <v>179</v>
      </c>
      <c r="B129" t="s">
        <v>176</v>
      </c>
      <c r="C129" t="s">
        <v>24</v>
      </c>
      <c r="D129" t="s">
        <v>18</v>
      </c>
    </row>
    <row r="130" spans="1:4" x14ac:dyDescent="0.25">
      <c r="A130" t="s">
        <v>180</v>
      </c>
      <c r="B130" t="s">
        <v>181</v>
      </c>
      <c r="C130" t="s">
        <v>17</v>
      </c>
      <c r="D130" t="s">
        <v>18</v>
      </c>
    </row>
    <row r="131" spans="1:4" x14ac:dyDescent="0.25">
      <c r="A131" t="s">
        <v>182</v>
      </c>
      <c r="B131" t="s">
        <v>181</v>
      </c>
      <c r="C131" t="s">
        <v>20</v>
      </c>
      <c r="D131" t="s">
        <v>18</v>
      </c>
    </row>
    <row r="132" spans="1:4" x14ac:dyDescent="0.25">
      <c r="A132" t="s">
        <v>183</v>
      </c>
      <c r="B132" t="s">
        <v>181</v>
      </c>
      <c r="C132" t="s">
        <v>22</v>
      </c>
      <c r="D132" t="s">
        <v>18</v>
      </c>
    </row>
    <row r="133" spans="1:4" x14ac:dyDescent="0.25">
      <c r="A133" t="s">
        <v>184</v>
      </c>
      <c r="B133" t="s">
        <v>181</v>
      </c>
      <c r="C133" t="s">
        <v>24</v>
      </c>
      <c r="D133" t="s">
        <v>18</v>
      </c>
    </row>
    <row r="134" spans="1:4" x14ac:dyDescent="0.25">
      <c r="A134" t="s">
        <v>185</v>
      </c>
      <c r="B134" t="s">
        <v>186</v>
      </c>
      <c r="C134" t="s">
        <v>17</v>
      </c>
      <c r="D134" t="s">
        <v>18</v>
      </c>
    </row>
    <row r="135" spans="1:4" x14ac:dyDescent="0.25">
      <c r="A135" t="s">
        <v>187</v>
      </c>
      <c r="B135" t="s">
        <v>186</v>
      </c>
      <c r="C135" t="s">
        <v>20</v>
      </c>
      <c r="D135" t="s">
        <v>18</v>
      </c>
    </row>
    <row r="136" spans="1:4" x14ac:dyDescent="0.25">
      <c r="A136" t="s">
        <v>188</v>
      </c>
      <c r="B136" t="s">
        <v>186</v>
      </c>
      <c r="C136" t="s">
        <v>22</v>
      </c>
      <c r="D136" t="s">
        <v>18</v>
      </c>
    </row>
    <row r="137" spans="1:4" x14ac:dyDescent="0.25">
      <c r="A137" t="s">
        <v>189</v>
      </c>
      <c r="B137" t="s">
        <v>186</v>
      </c>
      <c r="C137" t="s">
        <v>24</v>
      </c>
      <c r="D137" t="s">
        <v>18</v>
      </c>
    </row>
    <row r="138" spans="1:4" x14ac:dyDescent="0.25">
      <c r="A138" t="s">
        <v>190</v>
      </c>
      <c r="B138" t="s">
        <v>191</v>
      </c>
      <c r="C138" t="s">
        <v>17</v>
      </c>
      <c r="D138" t="s">
        <v>18</v>
      </c>
    </row>
    <row r="139" spans="1:4" x14ac:dyDescent="0.25">
      <c r="A139" t="s">
        <v>192</v>
      </c>
      <c r="B139" t="s">
        <v>191</v>
      </c>
      <c r="C139" t="s">
        <v>20</v>
      </c>
      <c r="D139" t="s">
        <v>18</v>
      </c>
    </row>
    <row r="140" spans="1:4" x14ac:dyDescent="0.25">
      <c r="A140" t="s">
        <v>193</v>
      </c>
      <c r="B140" t="s">
        <v>191</v>
      </c>
      <c r="C140" t="s">
        <v>22</v>
      </c>
      <c r="D140" t="s">
        <v>18</v>
      </c>
    </row>
    <row r="141" spans="1:4" x14ac:dyDescent="0.25">
      <c r="A141" t="s">
        <v>194</v>
      </c>
      <c r="B141" t="s">
        <v>191</v>
      </c>
      <c r="C141" t="s">
        <v>24</v>
      </c>
      <c r="D141" t="s">
        <v>18</v>
      </c>
    </row>
    <row r="142" spans="1:4" x14ac:dyDescent="0.25">
      <c r="A142" t="s">
        <v>195</v>
      </c>
      <c r="B142" t="s">
        <v>196</v>
      </c>
      <c r="C142" t="s">
        <v>17</v>
      </c>
      <c r="D142" t="s">
        <v>18</v>
      </c>
    </row>
    <row r="143" spans="1:4" x14ac:dyDescent="0.25">
      <c r="A143" t="s">
        <v>197</v>
      </c>
      <c r="B143" t="s">
        <v>196</v>
      </c>
      <c r="C143" t="s">
        <v>20</v>
      </c>
      <c r="D143" t="s">
        <v>18</v>
      </c>
    </row>
    <row r="144" spans="1:4" x14ac:dyDescent="0.25">
      <c r="A144" t="s">
        <v>198</v>
      </c>
      <c r="B144" t="s">
        <v>196</v>
      </c>
      <c r="C144" t="s">
        <v>22</v>
      </c>
      <c r="D144" t="s">
        <v>18</v>
      </c>
    </row>
    <row r="145" spans="1:4" x14ac:dyDescent="0.25">
      <c r="A145" t="s">
        <v>199</v>
      </c>
      <c r="B145" t="s">
        <v>196</v>
      </c>
      <c r="C145" t="s">
        <v>24</v>
      </c>
      <c r="D145" t="s">
        <v>18</v>
      </c>
    </row>
    <row r="146" spans="1:4" x14ac:dyDescent="0.25">
      <c r="A146" t="s">
        <v>200</v>
      </c>
      <c r="B146" t="s">
        <v>201</v>
      </c>
      <c r="C146" t="s">
        <v>17</v>
      </c>
      <c r="D146" t="s">
        <v>18</v>
      </c>
    </row>
    <row r="147" spans="1:4" x14ac:dyDescent="0.25">
      <c r="A147" t="s">
        <v>202</v>
      </c>
      <c r="B147" t="s">
        <v>201</v>
      </c>
      <c r="C147" t="s">
        <v>20</v>
      </c>
      <c r="D147" t="s">
        <v>18</v>
      </c>
    </row>
    <row r="148" spans="1:4" x14ac:dyDescent="0.25">
      <c r="A148" t="s">
        <v>203</v>
      </c>
      <c r="B148" t="s">
        <v>201</v>
      </c>
      <c r="C148" t="s">
        <v>22</v>
      </c>
      <c r="D148" t="s">
        <v>18</v>
      </c>
    </row>
    <row r="149" spans="1:4" x14ac:dyDescent="0.25">
      <c r="A149" t="s">
        <v>204</v>
      </c>
      <c r="B149" t="s">
        <v>201</v>
      </c>
      <c r="C149" t="s">
        <v>24</v>
      </c>
      <c r="D149" t="s">
        <v>18</v>
      </c>
    </row>
    <row r="150" spans="1:4" x14ac:dyDescent="0.25">
      <c r="A150" t="s">
        <v>205</v>
      </c>
      <c r="B150" t="s">
        <v>206</v>
      </c>
      <c r="C150" t="s">
        <v>17</v>
      </c>
      <c r="D150" t="s">
        <v>18</v>
      </c>
    </row>
    <row r="151" spans="1:4" x14ac:dyDescent="0.25">
      <c r="A151" t="s">
        <v>207</v>
      </c>
      <c r="B151" t="s">
        <v>206</v>
      </c>
      <c r="C151" t="s">
        <v>20</v>
      </c>
      <c r="D151" t="s">
        <v>18</v>
      </c>
    </row>
    <row r="152" spans="1:4" x14ac:dyDescent="0.25">
      <c r="A152" t="s">
        <v>208</v>
      </c>
      <c r="B152" t="s">
        <v>206</v>
      </c>
      <c r="C152" t="s">
        <v>22</v>
      </c>
      <c r="D152" t="s">
        <v>18</v>
      </c>
    </row>
    <row r="153" spans="1:4" x14ac:dyDescent="0.25">
      <c r="A153" t="s">
        <v>209</v>
      </c>
      <c r="B153" t="s">
        <v>206</v>
      </c>
      <c r="C153" t="s">
        <v>24</v>
      </c>
      <c r="D153" t="s">
        <v>18</v>
      </c>
    </row>
    <row r="154" spans="1:4" x14ac:dyDescent="0.25">
      <c r="A154" t="s">
        <v>210</v>
      </c>
      <c r="B154" t="s">
        <v>211</v>
      </c>
      <c r="C154" t="s">
        <v>17</v>
      </c>
      <c r="D154" t="s">
        <v>18</v>
      </c>
    </row>
    <row r="155" spans="1:4" x14ac:dyDescent="0.25">
      <c r="A155" t="s">
        <v>212</v>
      </c>
      <c r="B155" t="s">
        <v>211</v>
      </c>
      <c r="C155" t="s">
        <v>20</v>
      </c>
      <c r="D155" t="s">
        <v>18</v>
      </c>
    </row>
    <row r="156" spans="1:4" x14ac:dyDescent="0.25">
      <c r="A156" t="s">
        <v>213</v>
      </c>
      <c r="B156" t="s">
        <v>211</v>
      </c>
      <c r="C156" t="s">
        <v>22</v>
      </c>
      <c r="D156" t="s">
        <v>18</v>
      </c>
    </row>
    <row r="157" spans="1:4" x14ac:dyDescent="0.25">
      <c r="A157" t="s">
        <v>214</v>
      </c>
      <c r="B157" t="s">
        <v>211</v>
      </c>
      <c r="C157" t="s">
        <v>24</v>
      </c>
      <c r="D157" t="s">
        <v>18</v>
      </c>
    </row>
    <row r="158" spans="1:4" x14ac:dyDescent="0.25">
      <c r="A158" t="s">
        <v>215</v>
      </c>
      <c r="B158" t="s">
        <v>216</v>
      </c>
      <c r="C158" t="s">
        <v>17</v>
      </c>
      <c r="D158" t="s">
        <v>18</v>
      </c>
    </row>
    <row r="159" spans="1:4" x14ac:dyDescent="0.25">
      <c r="A159" t="s">
        <v>217</v>
      </c>
      <c r="B159" t="s">
        <v>216</v>
      </c>
      <c r="C159" t="s">
        <v>20</v>
      </c>
      <c r="D159" t="s">
        <v>18</v>
      </c>
    </row>
    <row r="160" spans="1:4" x14ac:dyDescent="0.25">
      <c r="A160" t="s">
        <v>218</v>
      </c>
      <c r="B160" t="s">
        <v>216</v>
      </c>
      <c r="C160" t="s">
        <v>22</v>
      </c>
      <c r="D160" t="s">
        <v>18</v>
      </c>
    </row>
    <row r="161" spans="1:4" x14ac:dyDescent="0.25">
      <c r="A161" t="s">
        <v>219</v>
      </c>
      <c r="B161" t="s">
        <v>216</v>
      </c>
      <c r="C161" t="s">
        <v>24</v>
      </c>
      <c r="D161" t="s">
        <v>18</v>
      </c>
    </row>
    <row r="162" spans="1:4" x14ac:dyDescent="0.25">
      <c r="A162" t="s">
        <v>220</v>
      </c>
      <c r="B162" t="s">
        <v>221</v>
      </c>
      <c r="C162" t="s">
        <v>17</v>
      </c>
      <c r="D162" t="s">
        <v>18</v>
      </c>
    </row>
    <row r="163" spans="1:4" x14ac:dyDescent="0.25">
      <c r="A163" t="s">
        <v>222</v>
      </c>
      <c r="B163" t="s">
        <v>221</v>
      </c>
      <c r="C163" t="s">
        <v>20</v>
      </c>
      <c r="D163" t="s">
        <v>18</v>
      </c>
    </row>
    <row r="164" spans="1:4" x14ac:dyDescent="0.25">
      <c r="A164" t="s">
        <v>223</v>
      </c>
      <c r="B164" t="s">
        <v>221</v>
      </c>
      <c r="C164" t="s">
        <v>22</v>
      </c>
      <c r="D164" t="s">
        <v>18</v>
      </c>
    </row>
    <row r="165" spans="1:4" x14ac:dyDescent="0.25">
      <c r="A165" t="s">
        <v>224</v>
      </c>
      <c r="B165" t="s">
        <v>221</v>
      </c>
      <c r="C165" t="s">
        <v>24</v>
      </c>
      <c r="D165" t="s">
        <v>18</v>
      </c>
    </row>
    <row r="166" spans="1:4" x14ac:dyDescent="0.25">
      <c r="A166" t="s">
        <v>225</v>
      </c>
      <c r="B166" t="s">
        <v>226</v>
      </c>
      <c r="C166" t="s">
        <v>17</v>
      </c>
      <c r="D166" t="s">
        <v>18</v>
      </c>
    </row>
    <row r="167" spans="1:4" x14ac:dyDescent="0.25">
      <c r="A167" t="s">
        <v>227</v>
      </c>
      <c r="B167" t="s">
        <v>226</v>
      </c>
      <c r="C167" t="s">
        <v>20</v>
      </c>
      <c r="D167" t="s">
        <v>18</v>
      </c>
    </row>
    <row r="168" spans="1:4" x14ac:dyDescent="0.25">
      <c r="A168" t="s">
        <v>228</v>
      </c>
      <c r="B168" t="s">
        <v>226</v>
      </c>
      <c r="C168" t="s">
        <v>22</v>
      </c>
      <c r="D168" t="s">
        <v>18</v>
      </c>
    </row>
    <row r="169" spans="1:4" x14ac:dyDescent="0.25">
      <c r="A169" t="s">
        <v>229</v>
      </c>
      <c r="B169" t="s">
        <v>226</v>
      </c>
      <c r="C169" t="s">
        <v>24</v>
      </c>
      <c r="D169" t="s">
        <v>18</v>
      </c>
    </row>
    <row r="170" spans="1:4" x14ac:dyDescent="0.25">
      <c r="A170" t="s">
        <v>230</v>
      </c>
      <c r="B170" t="s">
        <v>231</v>
      </c>
      <c r="C170" t="s">
        <v>17</v>
      </c>
      <c r="D170" t="s">
        <v>18</v>
      </c>
    </row>
    <row r="171" spans="1:4" x14ac:dyDescent="0.25">
      <c r="A171" t="s">
        <v>232</v>
      </c>
      <c r="B171" t="s">
        <v>231</v>
      </c>
      <c r="C171" t="s">
        <v>20</v>
      </c>
      <c r="D171" t="s">
        <v>18</v>
      </c>
    </row>
    <row r="172" spans="1:4" x14ac:dyDescent="0.25">
      <c r="A172" t="s">
        <v>233</v>
      </c>
      <c r="B172" t="s">
        <v>231</v>
      </c>
      <c r="C172" t="s">
        <v>22</v>
      </c>
      <c r="D172" t="s">
        <v>18</v>
      </c>
    </row>
    <row r="173" spans="1:4" x14ac:dyDescent="0.25">
      <c r="A173" t="s">
        <v>234</v>
      </c>
      <c r="B173" t="s">
        <v>231</v>
      </c>
      <c r="C173" t="s">
        <v>24</v>
      </c>
      <c r="D173" t="s">
        <v>18</v>
      </c>
    </row>
    <row r="174" spans="1:4" x14ac:dyDescent="0.25">
      <c r="A174" t="s">
        <v>235</v>
      </c>
      <c r="B174" t="s">
        <v>236</v>
      </c>
      <c r="C174" t="s">
        <v>17</v>
      </c>
      <c r="D174" t="s">
        <v>18</v>
      </c>
    </row>
    <row r="175" spans="1:4" x14ac:dyDescent="0.25">
      <c r="A175" t="s">
        <v>237</v>
      </c>
      <c r="B175" t="s">
        <v>236</v>
      </c>
      <c r="C175" t="s">
        <v>20</v>
      </c>
      <c r="D175" t="s">
        <v>18</v>
      </c>
    </row>
    <row r="176" spans="1:4" x14ac:dyDescent="0.25">
      <c r="A176" t="s">
        <v>238</v>
      </c>
      <c r="B176" t="s">
        <v>236</v>
      </c>
      <c r="C176" t="s">
        <v>22</v>
      </c>
      <c r="D176" t="s">
        <v>18</v>
      </c>
    </row>
    <row r="177" spans="1:4" x14ac:dyDescent="0.25">
      <c r="A177" t="s">
        <v>239</v>
      </c>
      <c r="B177" t="s">
        <v>236</v>
      </c>
      <c r="C177" t="s">
        <v>24</v>
      </c>
      <c r="D177" t="s">
        <v>18</v>
      </c>
    </row>
    <row r="178" spans="1:4" x14ac:dyDescent="0.25">
      <c r="A178" t="s">
        <v>240</v>
      </c>
      <c r="B178" t="s">
        <v>241</v>
      </c>
      <c r="C178" t="s">
        <v>17</v>
      </c>
      <c r="D178" t="s">
        <v>18</v>
      </c>
    </row>
    <row r="179" spans="1:4" x14ac:dyDescent="0.25">
      <c r="A179" t="s">
        <v>242</v>
      </c>
      <c r="B179" t="s">
        <v>241</v>
      </c>
      <c r="C179" t="s">
        <v>20</v>
      </c>
      <c r="D179" t="s">
        <v>18</v>
      </c>
    </row>
    <row r="180" spans="1:4" x14ac:dyDescent="0.25">
      <c r="A180" t="s">
        <v>243</v>
      </c>
      <c r="B180" t="s">
        <v>241</v>
      </c>
      <c r="C180" t="s">
        <v>22</v>
      </c>
      <c r="D180" t="s">
        <v>18</v>
      </c>
    </row>
    <row r="181" spans="1:4" x14ac:dyDescent="0.25">
      <c r="A181" t="s">
        <v>244</v>
      </c>
      <c r="B181" t="s">
        <v>241</v>
      </c>
      <c r="C181" t="s">
        <v>24</v>
      </c>
      <c r="D181" t="s">
        <v>18</v>
      </c>
    </row>
    <row r="182" spans="1:4" x14ac:dyDescent="0.25">
      <c r="A182" t="s">
        <v>245</v>
      </c>
      <c r="B182" t="s">
        <v>246</v>
      </c>
      <c r="C182" t="s">
        <v>17</v>
      </c>
      <c r="D182" t="s">
        <v>18</v>
      </c>
    </row>
    <row r="183" spans="1:4" x14ac:dyDescent="0.25">
      <c r="A183" t="s">
        <v>247</v>
      </c>
      <c r="B183" t="s">
        <v>246</v>
      </c>
      <c r="C183" t="s">
        <v>20</v>
      </c>
      <c r="D183" t="s">
        <v>18</v>
      </c>
    </row>
    <row r="184" spans="1:4" x14ac:dyDescent="0.25">
      <c r="A184" t="s">
        <v>248</v>
      </c>
      <c r="B184" t="s">
        <v>246</v>
      </c>
      <c r="C184" t="s">
        <v>22</v>
      </c>
      <c r="D184" t="s">
        <v>18</v>
      </c>
    </row>
    <row r="185" spans="1:4" x14ac:dyDescent="0.25">
      <c r="A185" t="s">
        <v>249</v>
      </c>
      <c r="B185" t="s">
        <v>246</v>
      </c>
      <c r="C185" t="s">
        <v>24</v>
      </c>
      <c r="D185" t="s">
        <v>18</v>
      </c>
    </row>
    <row r="186" spans="1:4" x14ac:dyDescent="0.25">
      <c r="A186" t="s">
        <v>250</v>
      </c>
      <c r="B186" t="s">
        <v>251</v>
      </c>
      <c r="C186" t="s">
        <v>17</v>
      </c>
      <c r="D186" t="s">
        <v>18</v>
      </c>
    </row>
    <row r="187" spans="1:4" x14ac:dyDescent="0.25">
      <c r="A187" t="s">
        <v>252</v>
      </c>
      <c r="B187" t="s">
        <v>251</v>
      </c>
      <c r="C187" t="s">
        <v>20</v>
      </c>
      <c r="D187" t="s">
        <v>18</v>
      </c>
    </row>
    <row r="188" spans="1:4" x14ac:dyDescent="0.25">
      <c r="A188" t="s">
        <v>253</v>
      </c>
      <c r="B188" t="s">
        <v>251</v>
      </c>
      <c r="C188" t="s">
        <v>22</v>
      </c>
      <c r="D188" t="s">
        <v>18</v>
      </c>
    </row>
    <row r="189" spans="1:4" x14ac:dyDescent="0.25">
      <c r="A189" t="s">
        <v>254</v>
      </c>
      <c r="B189" t="s">
        <v>251</v>
      </c>
      <c r="C189" t="s">
        <v>24</v>
      </c>
      <c r="D189" t="s">
        <v>18</v>
      </c>
    </row>
    <row r="190" spans="1:4" x14ac:dyDescent="0.25">
      <c r="A190" t="s">
        <v>255</v>
      </c>
      <c r="B190" t="s">
        <v>256</v>
      </c>
      <c r="C190" t="s">
        <v>17</v>
      </c>
      <c r="D190" t="s">
        <v>18</v>
      </c>
    </row>
    <row r="191" spans="1:4" x14ac:dyDescent="0.25">
      <c r="A191" t="s">
        <v>257</v>
      </c>
      <c r="B191" t="s">
        <v>256</v>
      </c>
      <c r="C191" t="s">
        <v>20</v>
      </c>
      <c r="D191" t="s">
        <v>18</v>
      </c>
    </row>
    <row r="192" spans="1:4" x14ac:dyDescent="0.25">
      <c r="A192" t="s">
        <v>258</v>
      </c>
      <c r="B192" t="s">
        <v>256</v>
      </c>
      <c r="C192" t="s">
        <v>22</v>
      </c>
      <c r="D192" t="s">
        <v>18</v>
      </c>
    </row>
    <row r="193" spans="1:4" x14ac:dyDescent="0.25">
      <c r="A193" t="s">
        <v>259</v>
      </c>
      <c r="B193" t="s">
        <v>256</v>
      </c>
      <c r="C193" t="s">
        <v>24</v>
      </c>
      <c r="D193" t="s">
        <v>18</v>
      </c>
    </row>
    <row r="194" spans="1:4" x14ac:dyDescent="0.25">
      <c r="A194" t="s">
        <v>260</v>
      </c>
      <c r="B194" t="s">
        <v>261</v>
      </c>
      <c r="C194" t="s">
        <v>17</v>
      </c>
      <c r="D194" t="s">
        <v>262</v>
      </c>
    </row>
    <row r="195" spans="1:4" x14ac:dyDescent="0.25">
      <c r="A195" t="s">
        <v>263</v>
      </c>
      <c r="B195" t="s">
        <v>261</v>
      </c>
      <c r="C195" t="s">
        <v>20</v>
      </c>
      <c r="D195" t="s">
        <v>262</v>
      </c>
    </row>
    <row r="196" spans="1:4" x14ac:dyDescent="0.25">
      <c r="A196" t="s">
        <v>264</v>
      </c>
      <c r="B196" t="s">
        <v>261</v>
      </c>
      <c r="C196" t="s">
        <v>22</v>
      </c>
      <c r="D196" t="s">
        <v>262</v>
      </c>
    </row>
    <row r="197" spans="1:4" x14ac:dyDescent="0.25">
      <c r="A197" t="s">
        <v>265</v>
      </c>
      <c r="B197" t="s">
        <v>261</v>
      </c>
      <c r="C197" t="s">
        <v>24</v>
      </c>
      <c r="D197" t="s">
        <v>262</v>
      </c>
    </row>
    <row r="198" spans="1:4" x14ac:dyDescent="0.25">
      <c r="A198" t="s">
        <v>266</v>
      </c>
      <c r="B198" t="s">
        <v>267</v>
      </c>
      <c r="C198" t="s">
        <v>17</v>
      </c>
      <c r="D198" t="s">
        <v>262</v>
      </c>
    </row>
    <row r="199" spans="1:4" x14ac:dyDescent="0.25">
      <c r="A199" t="s">
        <v>268</v>
      </c>
      <c r="B199" t="s">
        <v>267</v>
      </c>
      <c r="C199" t="s">
        <v>20</v>
      </c>
      <c r="D199" t="s">
        <v>262</v>
      </c>
    </row>
    <row r="200" spans="1:4" x14ac:dyDescent="0.25">
      <c r="A200" t="s">
        <v>269</v>
      </c>
      <c r="B200" t="s">
        <v>267</v>
      </c>
      <c r="C200" t="s">
        <v>22</v>
      </c>
      <c r="D200" t="s">
        <v>262</v>
      </c>
    </row>
    <row r="201" spans="1:4" x14ac:dyDescent="0.25">
      <c r="A201" t="s">
        <v>270</v>
      </c>
      <c r="B201" t="s">
        <v>267</v>
      </c>
      <c r="C201" t="s">
        <v>24</v>
      </c>
      <c r="D201" t="s">
        <v>262</v>
      </c>
    </row>
    <row r="202" spans="1:4" x14ac:dyDescent="0.25">
      <c r="A202" t="s">
        <v>271</v>
      </c>
      <c r="B202" t="s">
        <v>272</v>
      </c>
      <c r="C202" t="s">
        <v>17</v>
      </c>
      <c r="D202" t="s">
        <v>262</v>
      </c>
    </row>
    <row r="203" spans="1:4" x14ac:dyDescent="0.25">
      <c r="A203" t="s">
        <v>273</v>
      </c>
      <c r="B203" t="s">
        <v>272</v>
      </c>
      <c r="C203" t="s">
        <v>20</v>
      </c>
      <c r="D203" t="s">
        <v>262</v>
      </c>
    </row>
    <row r="204" spans="1:4" x14ac:dyDescent="0.25">
      <c r="A204" t="s">
        <v>274</v>
      </c>
      <c r="B204" t="s">
        <v>272</v>
      </c>
      <c r="C204" t="s">
        <v>22</v>
      </c>
      <c r="D204" t="s">
        <v>262</v>
      </c>
    </row>
    <row r="205" spans="1:4" x14ac:dyDescent="0.25">
      <c r="A205" t="s">
        <v>275</v>
      </c>
      <c r="B205" t="s">
        <v>272</v>
      </c>
      <c r="C205" t="s">
        <v>24</v>
      </c>
      <c r="D205" t="s">
        <v>262</v>
      </c>
    </row>
    <row r="206" spans="1:4" x14ac:dyDescent="0.25">
      <c r="A206" t="s">
        <v>276</v>
      </c>
      <c r="B206" t="s">
        <v>277</v>
      </c>
      <c r="C206" t="s">
        <v>17</v>
      </c>
      <c r="D206" t="s">
        <v>262</v>
      </c>
    </row>
    <row r="207" spans="1:4" x14ac:dyDescent="0.25">
      <c r="A207" t="s">
        <v>278</v>
      </c>
      <c r="B207" t="s">
        <v>277</v>
      </c>
      <c r="C207" t="s">
        <v>20</v>
      </c>
      <c r="D207" t="s">
        <v>262</v>
      </c>
    </row>
    <row r="208" spans="1:4" x14ac:dyDescent="0.25">
      <c r="A208" t="s">
        <v>279</v>
      </c>
      <c r="B208" t="s">
        <v>277</v>
      </c>
      <c r="C208" t="s">
        <v>22</v>
      </c>
      <c r="D208" t="s">
        <v>262</v>
      </c>
    </row>
    <row r="209" spans="1:4" x14ac:dyDescent="0.25">
      <c r="A209" t="s">
        <v>280</v>
      </c>
      <c r="B209" t="s">
        <v>277</v>
      </c>
      <c r="C209" t="s">
        <v>24</v>
      </c>
      <c r="D209" t="s">
        <v>262</v>
      </c>
    </row>
    <row r="210" spans="1:4" x14ac:dyDescent="0.25">
      <c r="A210" t="s">
        <v>281</v>
      </c>
      <c r="B210" t="s">
        <v>282</v>
      </c>
      <c r="C210" t="s">
        <v>17</v>
      </c>
      <c r="D210" t="s">
        <v>262</v>
      </c>
    </row>
    <row r="211" spans="1:4" x14ac:dyDescent="0.25">
      <c r="A211" t="s">
        <v>283</v>
      </c>
      <c r="B211" t="s">
        <v>282</v>
      </c>
      <c r="C211" t="s">
        <v>20</v>
      </c>
      <c r="D211" t="s">
        <v>262</v>
      </c>
    </row>
    <row r="212" spans="1:4" x14ac:dyDescent="0.25">
      <c r="A212" t="s">
        <v>284</v>
      </c>
      <c r="B212" t="s">
        <v>282</v>
      </c>
      <c r="C212" t="s">
        <v>22</v>
      </c>
      <c r="D212" t="s">
        <v>262</v>
      </c>
    </row>
    <row r="213" spans="1:4" x14ac:dyDescent="0.25">
      <c r="A213" t="s">
        <v>285</v>
      </c>
      <c r="B213" t="s">
        <v>282</v>
      </c>
      <c r="C213" t="s">
        <v>24</v>
      </c>
      <c r="D213" t="s">
        <v>262</v>
      </c>
    </row>
    <row r="214" spans="1:4" x14ac:dyDescent="0.25">
      <c r="A214" t="s">
        <v>286</v>
      </c>
      <c r="B214" t="s">
        <v>287</v>
      </c>
      <c r="C214" t="s">
        <v>17</v>
      </c>
      <c r="D214" t="s">
        <v>262</v>
      </c>
    </row>
    <row r="215" spans="1:4" x14ac:dyDescent="0.25">
      <c r="A215" t="s">
        <v>288</v>
      </c>
      <c r="B215" t="s">
        <v>287</v>
      </c>
      <c r="C215" t="s">
        <v>20</v>
      </c>
      <c r="D215" t="s">
        <v>262</v>
      </c>
    </row>
    <row r="216" spans="1:4" x14ac:dyDescent="0.25">
      <c r="A216" t="s">
        <v>289</v>
      </c>
      <c r="B216" t="s">
        <v>287</v>
      </c>
      <c r="C216" t="s">
        <v>22</v>
      </c>
      <c r="D216" t="s">
        <v>262</v>
      </c>
    </row>
    <row r="217" spans="1:4" x14ac:dyDescent="0.25">
      <c r="A217" t="s">
        <v>290</v>
      </c>
      <c r="B217" t="s">
        <v>287</v>
      </c>
      <c r="C217" t="s">
        <v>24</v>
      </c>
      <c r="D217" t="s">
        <v>262</v>
      </c>
    </row>
    <row r="218" spans="1:4" x14ac:dyDescent="0.25">
      <c r="A218" t="s">
        <v>291</v>
      </c>
      <c r="B218" t="s">
        <v>292</v>
      </c>
      <c r="C218" t="s">
        <v>17</v>
      </c>
      <c r="D218" t="s">
        <v>262</v>
      </c>
    </row>
    <row r="219" spans="1:4" x14ac:dyDescent="0.25">
      <c r="A219" t="s">
        <v>293</v>
      </c>
      <c r="B219" t="s">
        <v>292</v>
      </c>
      <c r="C219" t="s">
        <v>20</v>
      </c>
      <c r="D219" t="s">
        <v>262</v>
      </c>
    </row>
    <row r="220" spans="1:4" x14ac:dyDescent="0.25">
      <c r="A220" t="s">
        <v>294</v>
      </c>
      <c r="B220" t="s">
        <v>292</v>
      </c>
      <c r="C220" t="s">
        <v>22</v>
      </c>
      <c r="D220" t="s">
        <v>262</v>
      </c>
    </row>
    <row r="221" spans="1:4" x14ac:dyDescent="0.25">
      <c r="A221" t="s">
        <v>295</v>
      </c>
      <c r="B221" t="s">
        <v>292</v>
      </c>
      <c r="C221" t="s">
        <v>24</v>
      </c>
      <c r="D221" t="s">
        <v>262</v>
      </c>
    </row>
    <row r="222" spans="1:4" x14ac:dyDescent="0.25">
      <c r="A222" t="s">
        <v>296</v>
      </c>
      <c r="B222" t="s">
        <v>297</v>
      </c>
      <c r="C222" t="s">
        <v>17</v>
      </c>
      <c r="D222" t="s">
        <v>262</v>
      </c>
    </row>
    <row r="223" spans="1:4" x14ac:dyDescent="0.25">
      <c r="A223" t="s">
        <v>298</v>
      </c>
      <c r="B223" t="s">
        <v>297</v>
      </c>
      <c r="C223" t="s">
        <v>20</v>
      </c>
      <c r="D223" t="s">
        <v>262</v>
      </c>
    </row>
    <row r="224" spans="1:4" x14ac:dyDescent="0.25">
      <c r="A224" t="s">
        <v>299</v>
      </c>
      <c r="B224" t="s">
        <v>297</v>
      </c>
      <c r="C224" t="s">
        <v>22</v>
      </c>
      <c r="D224" t="s">
        <v>262</v>
      </c>
    </row>
    <row r="225" spans="1:4" x14ac:dyDescent="0.25">
      <c r="A225" t="s">
        <v>300</v>
      </c>
      <c r="B225" t="s">
        <v>297</v>
      </c>
      <c r="C225" t="s">
        <v>24</v>
      </c>
      <c r="D225" t="s">
        <v>262</v>
      </c>
    </row>
    <row r="226" spans="1:4" x14ac:dyDescent="0.25">
      <c r="A226" t="s">
        <v>301</v>
      </c>
      <c r="B226" t="s">
        <v>302</v>
      </c>
      <c r="C226" t="s">
        <v>17</v>
      </c>
      <c r="D226" t="s">
        <v>262</v>
      </c>
    </row>
    <row r="227" spans="1:4" x14ac:dyDescent="0.25">
      <c r="A227" t="s">
        <v>303</v>
      </c>
      <c r="B227" t="s">
        <v>302</v>
      </c>
      <c r="C227" t="s">
        <v>20</v>
      </c>
      <c r="D227" t="s">
        <v>262</v>
      </c>
    </row>
    <row r="228" spans="1:4" x14ac:dyDescent="0.25">
      <c r="A228" t="s">
        <v>304</v>
      </c>
      <c r="B228" t="s">
        <v>302</v>
      </c>
      <c r="C228" t="s">
        <v>22</v>
      </c>
      <c r="D228" t="s">
        <v>262</v>
      </c>
    </row>
    <row r="229" spans="1:4" x14ac:dyDescent="0.25">
      <c r="A229" t="s">
        <v>305</v>
      </c>
      <c r="B229" t="s">
        <v>302</v>
      </c>
      <c r="C229" t="s">
        <v>24</v>
      </c>
      <c r="D229" t="s">
        <v>262</v>
      </c>
    </row>
    <row r="230" spans="1:4" x14ac:dyDescent="0.25">
      <c r="A230" t="s">
        <v>306</v>
      </c>
      <c r="B230" t="s">
        <v>307</v>
      </c>
      <c r="C230" t="s">
        <v>17</v>
      </c>
      <c r="D230" t="s">
        <v>262</v>
      </c>
    </row>
    <row r="231" spans="1:4" x14ac:dyDescent="0.25">
      <c r="A231" t="s">
        <v>308</v>
      </c>
      <c r="B231" t="s">
        <v>307</v>
      </c>
      <c r="C231" t="s">
        <v>20</v>
      </c>
      <c r="D231" t="s">
        <v>262</v>
      </c>
    </row>
    <row r="232" spans="1:4" x14ac:dyDescent="0.25">
      <c r="A232" t="s">
        <v>309</v>
      </c>
      <c r="B232" t="s">
        <v>307</v>
      </c>
      <c r="C232" t="s">
        <v>22</v>
      </c>
      <c r="D232" t="s">
        <v>262</v>
      </c>
    </row>
    <row r="233" spans="1:4" x14ac:dyDescent="0.25">
      <c r="A233" t="s">
        <v>310</v>
      </c>
      <c r="B233" t="s">
        <v>307</v>
      </c>
      <c r="C233" t="s">
        <v>24</v>
      </c>
      <c r="D233" t="s">
        <v>262</v>
      </c>
    </row>
    <row r="234" spans="1:4" x14ac:dyDescent="0.25">
      <c r="A234" t="s">
        <v>311</v>
      </c>
      <c r="B234" t="s">
        <v>312</v>
      </c>
      <c r="C234" t="s">
        <v>17</v>
      </c>
      <c r="D234" t="s">
        <v>262</v>
      </c>
    </row>
    <row r="235" spans="1:4" x14ac:dyDescent="0.25">
      <c r="A235" t="s">
        <v>313</v>
      </c>
      <c r="B235" t="s">
        <v>312</v>
      </c>
      <c r="C235" t="s">
        <v>20</v>
      </c>
      <c r="D235" t="s">
        <v>262</v>
      </c>
    </row>
    <row r="236" spans="1:4" x14ac:dyDescent="0.25">
      <c r="A236" t="s">
        <v>314</v>
      </c>
      <c r="B236" t="s">
        <v>312</v>
      </c>
      <c r="C236" t="s">
        <v>22</v>
      </c>
      <c r="D236" t="s">
        <v>262</v>
      </c>
    </row>
    <row r="237" spans="1:4" x14ac:dyDescent="0.25">
      <c r="A237" t="s">
        <v>315</v>
      </c>
      <c r="B237" t="s">
        <v>312</v>
      </c>
      <c r="C237" t="s">
        <v>24</v>
      </c>
      <c r="D237" t="s">
        <v>262</v>
      </c>
    </row>
    <row r="238" spans="1:4" x14ac:dyDescent="0.25">
      <c r="A238" t="s">
        <v>316</v>
      </c>
      <c r="B238" t="s">
        <v>317</v>
      </c>
      <c r="C238" t="s">
        <v>17</v>
      </c>
      <c r="D238" t="s">
        <v>262</v>
      </c>
    </row>
    <row r="239" spans="1:4" x14ac:dyDescent="0.25">
      <c r="A239" t="s">
        <v>318</v>
      </c>
      <c r="B239" t="s">
        <v>317</v>
      </c>
      <c r="C239" t="s">
        <v>20</v>
      </c>
      <c r="D239" t="s">
        <v>262</v>
      </c>
    </row>
    <row r="240" spans="1:4" x14ac:dyDescent="0.25">
      <c r="A240" t="s">
        <v>319</v>
      </c>
      <c r="B240" t="s">
        <v>317</v>
      </c>
      <c r="C240" t="s">
        <v>22</v>
      </c>
      <c r="D240" t="s">
        <v>262</v>
      </c>
    </row>
    <row r="241" spans="1:4" x14ac:dyDescent="0.25">
      <c r="A241" t="s">
        <v>320</v>
      </c>
      <c r="B241" t="s">
        <v>317</v>
      </c>
      <c r="C241" t="s">
        <v>24</v>
      </c>
      <c r="D241" t="s">
        <v>262</v>
      </c>
    </row>
    <row r="242" spans="1:4" x14ac:dyDescent="0.25">
      <c r="A242" t="s">
        <v>321</v>
      </c>
      <c r="B242" t="s">
        <v>322</v>
      </c>
      <c r="C242" t="s">
        <v>17</v>
      </c>
      <c r="D242" t="s">
        <v>262</v>
      </c>
    </row>
    <row r="243" spans="1:4" x14ac:dyDescent="0.25">
      <c r="A243" t="s">
        <v>323</v>
      </c>
      <c r="B243" t="s">
        <v>322</v>
      </c>
      <c r="C243" t="s">
        <v>20</v>
      </c>
      <c r="D243" t="s">
        <v>262</v>
      </c>
    </row>
    <row r="244" spans="1:4" x14ac:dyDescent="0.25">
      <c r="A244" t="s">
        <v>324</v>
      </c>
      <c r="B244" t="s">
        <v>322</v>
      </c>
      <c r="C244" t="s">
        <v>22</v>
      </c>
      <c r="D244" t="s">
        <v>262</v>
      </c>
    </row>
    <row r="245" spans="1:4" x14ac:dyDescent="0.25">
      <c r="A245" t="s">
        <v>325</v>
      </c>
      <c r="B245" t="s">
        <v>322</v>
      </c>
      <c r="C245" t="s">
        <v>24</v>
      </c>
      <c r="D245" t="s">
        <v>262</v>
      </c>
    </row>
    <row r="246" spans="1:4" x14ac:dyDescent="0.25">
      <c r="A246" t="s">
        <v>326</v>
      </c>
      <c r="B246" t="s">
        <v>327</v>
      </c>
      <c r="C246" t="s">
        <v>17</v>
      </c>
      <c r="D246" t="s">
        <v>262</v>
      </c>
    </row>
    <row r="247" spans="1:4" x14ac:dyDescent="0.25">
      <c r="A247" t="s">
        <v>328</v>
      </c>
      <c r="B247" t="s">
        <v>327</v>
      </c>
      <c r="C247" t="s">
        <v>20</v>
      </c>
      <c r="D247" t="s">
        <v>262</v>
      </c>
    </row>
    <row r="248" spans="1:4" x14ac:dyDescent="0.25">
      <c r="A248" t="s">
        <v>329</v>
      </c>
      <c r="B248" t="s">
        <v>327</v>
      </c>
      <c r="C248" t="s">
        <v>22</v>
      </c>
      <c r="D248" t="s">
        <v>262</v>
      </c>
    </row>
    <row r="249" spans="1:4" x14ac:dyDescent="0.25">
      <c r="A249" t="s">
        <v>330</v>
      </c>
      <c r="B249" t="s">
        <v>327</v>
      </c>
      <c r="C249" t="s">
        <v>24</v>
      </c>
      <c r="D249" t="s">
        <v>262</v>
      </c>
    </row>
    <row r="250" spans="1:4" x14ac:dyDescent="0.25">
      <c r="A250" t="s">
        <v>331</v>
      </c>
      <c r="B250" t="s">
        <v>332</v>
      </c>
      <c r="C250" t="s">
        <v>17</v>
      </c>
      <c r="D250" t="s">
        <v>262</v>
      </c>
    </row>
    <row r="251" spans="1:4" x14ac:dyDescent="0.25">
      <c r="A251" t="s">
        <v>333</v>
      </c>
      <c r="B251" t="s">
        <v>332</v>
      </c>
      <c r="C251" t="s">
        <v>20</v>
      </c>
      <c r="D251" t="s">
        <v>262</v>
      </c>
    </row>
    <row r="252" spans="1:4" x14ac:dyDescent="0.25">
      <c r="A252" t="s">
        <v>334</v>
      </c>
      <c r="B252" t="s">
        <v>332</v>
      </c>
      <c r="C252" t="s">
        <v>22</v>
      </c>
      <c r="D252" t="s">
        <v>262</v>
      </c>
    </row>
    <row r="253" spans="1:4" x14ac:dyDescent="0.25">
      <c r="A253" t="s">
        <v>335</v>
      </c>
      <c r="B253" t="s">
        <v>332</v>
      </c>
      <c r="C253" t="s">
        <v>24</v>
      </c>
      <c r="D253" t="s">
        <v>262</v>
      </c>
    </row>
    <row r="254" spans="1:4" x14ac:dyDescent="0.25">
      <c r="A254" t="s">
        <v>336</v>
      </c>
      <c r="B254" t="s">
        <v>337</v>
      </c>
      <c r="C254" t="s">
        <v>17</v>
      </c>
      <c r="D254" t="s">
        <v>262</v>
      </c>
    </row>
    <row r="255" spans="1:4" x14ac:dyDescent="0.25">
      <c r="A255" t="s">
        <v>338</v>
      </c>
      <c r="B255" t="s">
        <v>337</v>
      </c>
      <c r="C255" t="s">
        <v>20</v>
      </c>
      <c r="D255" t="s">
        <v>262</v>
      </c>
    </row>
    <row r="256" spans="1:4" x14ac:dyDescent="0.25">
      <c r="A256" t="s">
        <v>339</v>
      </c>
      <c r="B256" t="s">
        <v>337</v>
      </c>
      <c r="C256" t="s">
        <v>22</v>
      </c>
      <c r="D256" t="s">
        <v>262</v>
      </c>
    </row>
    <row r="257" spans="1:4" x14ac:dyDescent="0.25">
      <c r="A257" t="s">
        <v>340</v>
      </c>
      <c r="B257" t="s">
        <v>337</v>
      </c>
      <c r="C257" t="s">
        <v>24</v>
      </c>
      <c r="D257" t="s">
        <v>262</v>
      </c>
    </row>
    <row r="258" spans="1:4" x14ac:dyDescent="0.25">
      <c r="A258" t="s">
        <v>341</v>
      </c>
      <c r="B258" t="s">
        <v>342</v>
      </c>
      <c r="C258" t="s">
        <v>17</v>
      </c>
      <c r="D258" t="s">
        <v>262</v>
      </c>
    </row>
    <row r="259" spans="1:4" x14ac:dyDescent="0.25">
      <c r="A259" t="s">
        <v>343</v>
      </c>
      <c r="B259" t="s">
        <v>342</v>
      </c>
      <c r="C259" t="s">
        <v>20</v>
      </c>
      <c r="D259" t="s">
        <v>262</v>
      </c>
    </row>
    <row r="260" spans="1:4" x14ac:dyDescent="0.25">
      <c r="A260" t="s">
        <v>344</v>
      </c>
      <c r="B260" t="s">
        <v>342</v>
      </c>
      <c r="C260" t="s">
        <v>22</v>
      </c>
      <c r="D260" t="s">
        <v>262</v>
      </c>
    </row>
    <row r="261" spans="1:4" x14ac:dyDescent="0.25">
      <c r="A261" t="s">
        <v>345</v>
      </c>
      <c r="B261" t="s">
        <v>342</v>
      </c>
      <c r="C261" t="s">
        <v>24</v>
      </c>
      <c r="D261" t="s">
        <v>262</v>
      </c>
    </row>
    <row r="262" spans="1:4" x14ac:dyDescent="0.25">
      <c r="A262" t="s">
        <v>346</v>
      </c>
      <c r="B262" t="s">
        <v>347</v>
      </c>
      <c r="C262" t="s">
        <v>17</v>
      </c>
      <c r="D262" t="s">
        <v>262</v>
      </c>
    </row>
    <row r="263" spans="1:4" x14ac:dyDescent="0.25">
      <c r="A263" t="s">
        <v>348</v>
      </c>
      <c r="B263" t="s">
        <v>347</v>
      </c>
      <c r="C263" t="s">
        <v>20</v>
      </c>
      <c r="D263" t="s">
        <v>262</v>
      </c>
    </row>
    <row r="264" spans="1:4" x14ac:dyDescent="0.25">
      <c r="A264" t="s">
        <v>349</v>
      </c>
      <c r="B264" t="s">
        <v>347</v>
      </c>
      <c r="C264" t="s">
        <v>22</v>
      </c>
      <c r="D264" t="s">
        <v>262</v>
      </c>
    </row>
    <row r="265" spans="1:4" x14ac:dyDescent="0.25">
      <c r="A265" t="s">
        <v>350</v>
      </c>
      <c r="B265" t="s">
        <v>347</v>
      </c>
      <c r="C265" t="s">
        <v>24</v>
      </c>
      <c r="D265" t="s">
        <v>262</v>
      </c>
    </row>
    <row r="266" spans="1:4" x14ac:dyDescent="0.25">
      <c r="A266" t="s">
        <v>351</v>
      </c>
      <c r="B266" t="s">
        <v>352</v>
      </c>
      <c r="C266" t="s">
        <v>17</v>
      </c>
      <c r="D266" t="s">
        <v>262</v>
      </c>
    </row>
    <row r="267" spans="1:4" x14ac:dyDescent="0.25">
      <c r="A267" t="s">
        <v>353</v>
      </c>
      <c r="B267" t="s">
        <v>352</v>
      </c>
      <c r="C267" t="s">
        <v>20</v>
      </c>
      <c r="D267" t="s">
        <v>262</v>
      </c>
    </row>
    <row r="268" spans="1:4" x14ac:dyDescent="0.25">
      <c r="A268" t="s">
        <v>354</v>
      </c>
      <c r="B268" t="s">
        <v>352</v>
      </c>
      <c r="C268" t="s">
        <v>22</v>
      </c>
      <c r="D268" t="s">
        <v>262</v>
      </c>
    </row>
    <row r="269" spans="1:4" x14ac:dyDescent="0.25">
      <c r="A269" t="s">
        <v>355</v>
      </c>
      <c r="B269" t="s">
        <v>352</v>
      </c>
      <c r="C269" t="s">
        <v>24</v>
      </c>
      <c r="D269" t="s">
        <v>262</v>
      </c>
    </row>
    <row r="270" spans="1:4" x14ac:dyDescent="0.25">
      <c r="A270" t="s">
        <v>356</v>
      </c>
      <c r="B270" t="s">
        <v>357</v>
      </c>
      <c r="C270" t="s">
        <v>17</v>
      </c>
      <c r="D270" t="s">
        <v>262</v>
      </c>
    </row>
    <row r="271" spans="1:4" x14ac:dyDescent="0.25">
      <c r="A271" t="s">
        <v>358</v>
      </c>
      <c r="B271" t="s">
        <v>357</v>
      </c>
      <c r="C271" t="s">
        <v>20</v>
      </c>
      <c r="D271" t="s">
        <v>262</v>
      </c>
    </row>
    <row r="272" spans="1:4" x14ac:dyDescent="0.25">
      <c r="A272" t="s">
        <v>359</v>
      </c>
      <c r="B272" t="s">
        <v>357</v>
      </c>
      <c r="C272" t="s">
        <v>22</v>
      </c>
      <c r="D272" t="s">
        <v>262</v>
      </c>
    </row>
    <row r="273" spans="1:4" x14ac:dyDescent="0.25">
      <c r="A273" t="s">
        <v>360</v>
      </c>
      <c r="B273" t="s">
        <v>357</v>
      </c>
      <c r="C273" t="s">
        <v>24</v>
      </c>
      <c r="D273" t="s">
        <v>262</v>
      </c>
    </row>
    <row r="274" spans="1:4" x14ac:dyDescent="0.25">
      <c r="A274" t="s">
        <v>361</v>
      </c>
      <c r="B274" t="s">
        <v>362</v>
      </c>
      <c r="C274" t="s">
        <v>17</v>
      </c>
      <c r="D274" t="s">
        <v>262</v>
      </c>
    </row>
    <row r="275" spans="1:4" x14ac:dyDescent="0.25">
      <c r="A275" t="s">
        <v>363</v>
      </c>
      <c r="B275" t="s">
        <v>362</v>
      </c>
      <c r="C275" t="s">
        <v>20</v>
      </c>
      <c r="D275" t="s">
        <v>262</v>
      </c>
    </row>
    <row r="276" spans="1:4" x14ac:dyDescent="0.25">
      <c r="A276" t="s">
        <v>364</v>
      </c>
      <c r="B276" t="s">
        <v>362</v>
      </c>
      <c r="C276" t="s">
        <v>22</v>
      </c>
      <c r="D276" t="s">
        <v>262</v>
      </c>
    </row>
    <row r="277" spans="1:4" x14ac:dyDescent="0.25">
      <c r="A277" t="s">
        <v>365</v>
      </c>
      <c r="B277" t="s">
        <v>362</v>
      </c>
      <c r="C277" t="s">
        <v>24</v>
      </c>
      <c r="D277" t="s">
        <v>262</v>
      </c>
    </row>
    <row r="278" spans="1:4" x14ac:dyDescent="0.25">
      <c r="A278" t="s">
        <v>366</v>
      </c>
      <c r="B278" t="s">
        <v>367</v>
      </c>
      <c r="C278" t="s">
        <v>17</v>
      </c>
      <c r="D278" t="s">
        <v>262</v>
      </c>
    </row>
    <row r="279" spans="1:4" x14ac:dyDescent="0.25">
      <c r="A279" t="s">
        <v>368</v>
      </c>
      <c r="B279" t="s">
        <v>367</v>
      </c>
      <c r="C279" t="s">
        <v>20</v>
      </c>
      <c r="D279" t="s">
        <v>262</v>
      </c>
    </row>
    <row r="280" spans="1:4" x14ac:dyDescent="0.25">
      <c r="A280" t="s">
        <v>369</v>
      </c>
      <c r="B280" t="s">
        <v>367</v>
      </c>
      <c r="C280" t="s">
        <v>22</v>
      </c>
      <c r="D280" t="s">
        <v>262</v>
      </c>
    </row>
    <row r="281" spans="1:4" x14ac:dyDescent="0.25">
      <c r="A281" t="s">
        <v>370</v>
      </c>
      <c r="B281" t="s">
        <v>367</v>
      </c>
      <c r="C281" t="s">
        <v>24</v>
      </c>
      <c r="D281" t="s">
        <v>262</v>
      </c>
    </row>
    <row r="282" spans="1:4" x14ac:dyDescent="0.25">
      <c r="A282" t="s">
        <v>371</v>
      </c>
      <c r="B282" t="s">
        <v>372</v>
      </c>
      <c r="C282" t="s">
        <v>17</v>
      </c>
      <c r="D282" t="s">
        <v>262</v>
      </c>
    </row>
    <row r="283" spans="1:4" x14ac:dyDescent="0.25">
      <c r="A283" t="s">
        <v>373</v>
      </c>
      <c r="B283" t="s">
        <v>372</v>
      </c>
      <c r="C283" t="s">
        <v>20</v>
      </c>
      <c r="D283" t="s">
        <v>262</v>
      </c>
    </row>
    <row r="284" spans="1:4" x14ac:dyDescent="0.25">
      <c r="A284" t="s">
        <v>374</v>
      </c>
      <c r="B284" t="s">
        <v>372</v>
      </c>
      <c r="C284" t="s">
        <v>22</v>
      </c>
      <c r="D284" t="s">
        <v>262</v>
      </c>
    </row>
    <row r="285" spans="1:4" x14ac:dyDescent="0.25">
      <c r="A285" t="s">
        <v>375</v>
      </c>
      <c r="B285" t="s">
        <v>372</v>
      </c>
      <c r="C285" t="s">
        <v>24</v>
      </c>
      <c r="D285" t="s">
        <v>262</v>
      </c>
    </row>
    <row r="286" spans="1:4" x14ac:dyDescent="0.25">
      <c r="A286" t="s">
        <v>376</v>
      </c>
      <c r="B286" t="s">
        <v>377</v>
      </c>
      <c r="C286" t="s">
        <v>17</v>
      </c>
      <c r="D286" t="s">
        <v>262</v>
      </c>
    </row>
    <row r="287" spans="1:4" x14ac:dyDescent="0.25">
      <c r="A287" t="s">
        <v>378</v>
      </c>
      <c r="B287" t="s">
        <v>377</v>
      </c>
      <c r="C287" t="s">
        <v>20</v>
      </c>
      <c r="D287" t="s">
        <v>262</v>
      </c>
    </row>
    <row r="288" spans="1:4" x14ac:dyDescent="0.25">
      <c r="A288" t="s">
        <v>379</v>
      </c>
      <c r="B288" t="s">
        <v>377</v>
      </c>
      <c r="C288" t="s">
        <v>22</v>
      </c>
      <c r="D288" t="s">
        <v>262</v>
      </c>
    </row>
    <row r="289" spans="1:4" x14ac:dyDescent="0.25">
      <c r="A289" t="s">
        <v>380</v>
      </c>
      <c r="B289" t="s">
        <v>377</v>
      </c>
      <c r="C289" t="s">
        <v>24</v>
      </c>
      <c r="D289" t="s">
        <v>262</v>
      </c>
    </row>
    <row r="290" spans="1:4" x14ac:dyDescent="0.25">
      <c r="A290" t="s">
        <v>381</v>
      </c>
      <c r="B290" t="s">
        <v>382</v>
      </c>
      <c r="C290" t="s">
        <v>17</v>
      </c>
      <c r="D290" t="s">
        <v>262</v>
      </c>
    </row>
    <row r="291" spans="1:4" x14ac:dyDescent="0.25">
      <c r="A291" t="s">
        <v>383</v>
      </c>
      <c r="B291" t="s">
        <v>382</v>
      </c>
      <c r="C291" t="s">
        <v>20</v>
      </c>
      <c r="D291" t="s">
        <v>262</v>
      </c>
    </row>
    <row r="292" spans="1:4" x14ac:dyDescent="0.25">
      <c r="A292" t="s">
        <v>384</v>
      </c>
      <c r="B292" t="s">
        <v>382</v>
      </c>
      <c r="C292" t="s">
        <v>22</v>
      </c>
      <c r="D292" t="s">
        <v>262</v>
      </c>
    </row>
    <row r="293" spans="1:4" x14ac:dyDescent="0.25">
      <c r="A293" t="s">
        <v>385</v>
      </c>
      <c r="B293" t="s">
        <v>382</v>
      </c>
      <c r="C293" t="s">
        <v>24</v>
      </c>
      <c r="D293" t="s">
        <v>262</v>
      </c>
    </row>
    <row r="294" spans="1:4" x14ac:dyDescent="0.25">
      <c r="A294" t="s">
        <v>386</v>
      </c>
      <c r="B294" t="s">
        <v>386</v>
      </c>
      <c r="C294" t="s">
        <v>894</v>
      </c>
      <c r="D294" t="s">
        <v>387</v>
      </c>
    </row>
    <row r="295" spans="1:4" x14ac:dyDescent="0.25">
      <c r="A295" t="s">
        <v>388</v>
      </c>
      <c r="B295" t="s">
        <v>388</v>
      </c>
      <c r="C295" t="s">
        <v>894</v>
      </c>
      <c r="D295" t="s">
        <v>387</v>
      </c>
    </row>
    <row r="296" spans="1:4" x14ac:dyDescent="0.25">
      <c r="A296" t="s">
        <v>389</v>
      </c>
      <c r="B296" t="s">
        <v>389</v>
      </c>
      <c r="C296" t="s">
        <v>894</v>
      </c>
      <c r="D296" t="s">
        <v>387</v>
      </c>
    </row>
    <row r="297" spans="1:4" x14ac:dyDescent="0.25">
      <c r="A297" t="s">
        <v>390</v>
      </c>
      <c r="B297" t="s">
        <v>390</v>
      </c>
      <c r="C297" t="s">
        <v>894</v>
      </c>
      <c r="D297" t="s">
        <v>387</v>
      </c>
    </row>
    <row r="298" spans="1:4" x14ac:dyDescent="0.25">
      <c r="A298" t="s">
        <v>391</v>
      </c>
      <c r="B298" t="s">
        <v>391</v>
      </c>
      <c r="C298" t="s">
        <v>894</v>
      </c>
      <c r="D298" t="s">
        <v>387</v>
      </c>
    </row>
    <row r="299" spans="1:4" x14ac:dyDescent="0.25">
      <c r="A299" t="s">
        <v>392</v>
      </c>
      <c r="B299" t="s">
        <v>392</v>
      </c>
      <c r="C299" t="s">
        <v>894</v>
      </c>
      <c r="D299" t="s">
        <v>387</v>
      </c>
    </row>
    <row r="300" spans="1:4" x14ac:dyDescent="0.25">
      <c r="A300" t="s">
        <v>393</v>
      </c>
      <c r="B300" t="s">
        <v>393</v>
      </c>
      <c r="C300" t="s">
        <v>894</v>
      </c>
      <c r="D300" t="s">
        <v>387</v>
      </c>
    </row>
    <row r="301" spans="1:4" x14ac:dyDescent="0.25">
      <c r="A301" t="s">
        <v>394</v>
      </c>
      <c r="B301" t="s">
        <v>394</v>
      </c>
      <c r="C301" t="s">
        <v>894</v>
      </c>
      <c r="D301" t="s">
        <v>387</v>
      </c>
    </row>
    <row r="302" spans="1:4" x14ac:dyDescent="0.25">
      <c r="A302" t="s">
        <v>395</v>
      </c>
      <c r="B302" t="s">
        <v>395</v>
      </c>
      <c r="C302" t="s">
        <v>894</v>
      </c>
      <c r="D302" t="s">
        <v>387</v>
      </c>
    </row>
    <row r="303" spans="1:4" x14ac:dyDescent="0.25">
      <c r="A303" t="s">
        <v>396</v>
      </c>
      <c r="B303" t="s">
        <v>396</v>
      </c>
      <c r="C303" t="s">
        <v>894</v>
      </c>
      <c r="D303" t="s">
        <v>387</v>
      </c>
    </row>
    <row r="304" spans="1:4" x14ac:dyDescent="0.25">
      <c r="A304" t="s">
        <v>397</v>
      </c>
      <c r="B304" t="s">
        <v>397</v>
      </c>
      <c r="C304" t="s">
        <v>894</v>
      </c>
      <c r="D304" t="s">
        <v>387</v>
      </c>
    </row>
    <row r="305" spans="1:4" x14ac:dyDescent="0.25">
      <c r="A305" t="s">
        <v>398</v>
      </c>
      <c r="B305" t="s">
        <v>398</v>
      </c>
      <c r="C305" t="s">
        <v>894</v>
      </c>
      <c r="D305" t="s">
        <v>387</v>
      </c>
    </row>
    <row r="306" spans="1:4" x14ac:dyDescent="0.25">
      <c r="A306" t="s">
        <v>399</v>
      </c>
      <c r="B306" t="s">
        <v>399</v>
      </c>
      <c r="C306" t="s">
        <v>894</v>
      </c>
      <c r="D306" t="s">
        <v>387</v>
      </c>
    </row>
    <row r="307" spans="1:4" x14ac:dyDescent="0.25">
      <c r="A307" t="s">
        <v>400</v>
      </c>
      <c r="B307" t="s">
        <v>400</v>
      </c>
      <c r="C307" t="s">
        <v>894</v>
      </c>
      <c r="D307" t="s">
        <v>387</v>
      </c>
    </row>
    <row r="308" spans="1:4" x14ac:dyDescent="0.25">
      <c r="A308" t="s">
        <v>401</v>
      </c>
      <c r="B308" t="s">
        <v>401</v>
      </c>
      <c r="C308" t="s">
        <v>894</v>
      </c>
      <c r="D308" t="s">
        <v>387</v>
      </c>
    </row>
    <row r="309" spans="1:4" x14ac:dyDescent="0.25">
      <c r="A309" t="s">
        <v>402</v>
      </c>
      <c r="B309" t="s">
        <v>402</v>
      </c>
      <c r="C309" t="s">
        <v>894</v>
      </c>
      <c r="D309" t="s">
        <v>387</v>
      </c>
    </row>
    <row r="310" spans="1:4" x14ac:dyDescent="0.25">
      <c r="A310" t="s">
        <v>403</v>
      </c>
      <c r="B310" t="s">
        <v>403</v>
      </c>
      <c r="C310" t="s">
        <v>894</v>
      </c>
      <c r="D310" t="s">
        <v>387</v>
      </c>
    </row>
    <row r="311" spans="1:4" x14ac:dyDescent="0.25">
      <c r="A311" t="s">
        <v>404</v>
      </c>
      <c r="B311" t="s">
        <v>404</v>
      </c>
      <c r="C311" t="s">
        <v>894</v>
      </c>
      <c r="D311" t="s">
        <v>387</v>
      </c>
    </row>
    <row r="312" spans="1:4" x14ac:dyDescent="0.25">
      <c r="A312" t="s">
        <v>405</v>
      </c>
      <c r="B312" t="s">
        <v>405</v>
      </c>
      <c r="C312" t="s">
        <v>894</v>
      </c>
      <c r="D312" t="s">
        <v>387</v>
      </c>
    </row>
    <row r="313" spans="1:4" x14ac:dyDescent="0.25">
      <c r="A313" t="s">
        <v>406</v>
      </c>
      <c r="B313" t="s">
        <v>406</v>
      </c>
      <c r="C313" t="s">
        <v>894</v>
      </c>
      <c r="D313" t="s">
        <v>387</v>
      </c>
    </row>
    <row r="314" spans="1:4" x14ac:dyDescent="0.25">
      <c r="A314" t="s">
        <v>407</v>
      </c>
      <c r="B314" t="s">
        <v>407</v>
      </c>
      <c r="C314" t="s">
        <v>894</v>
      </c>
      <c r="D314" t="s">
        <v>387</v>
      </c>
    </row>
    <row r="315" spans="1:4" x14ac:dyDescent="0.25">
      <c r="A315" t="s">
        <v>408</v>
      </c>
      <c r="B315" t="s">
        <v>408</v>
      </c>
      <c r="C315" t="s">
        <v>894</v>
      </c>
      <c r="D315" t="s">
        <v>387</v>
      </c>
    </row>
    <row r="316" spans="1:4" x14ac:dyDescent="0.25">
      <c r="A316" t="s">
        <v>409</v>
      </c>
      <c r="B316" t="s">
        <v>409</v>
      </c>
      <c r="C316" t="s">
        <v>894</v>
      </c>
      <c r="D316" t="s">
        <v>387</v>
      </c>
    </row>
    <row r="317" spans="1:4" x14ac:dyDescent="0.25">
      <c r="A317" t="s">
        <v>410</v>
      </c>
      <c r="B317" t="s">
        <v>410</v>
      </c>
      <c r="C317" t="s">
        <v>894</v>
      </c>
      <c r="D317" t="s">
        <v>387</v>
      </c>
    </row>
    <row r="318" spans="1:4" x14ac:dyDescent="0.25">
      <c r="A318" t="s">
        <v>411</v>
      </c>
      <c r="B318" t="s">
        <v>411</v>
      </c>
      <c r="C318" t="s">
        <v>894</v>
      </c>
      <c r="D318" t="s">
        <v>412</v>
      </c>
    </row>
    <row r="319" spans="1:4" x14ac:dyDescent="0.25">
      <c r="A319" t="s">
        <v>413</v>
      </c>
      <c r="B319" t="s">
        <v>413</v>
      </c>
      <c r="C319" t="s">
        <v>894</v>
      </c>
      <c r="D319" t="s">
        <v>412</v>
      </c>
    </row>
    <row r="320" spans="1:4" x14ac:dyDescent="0.25">
      <c r="A320" t="s">
        <v>414</v>
      </c>
      <c r="B320" t="s">
        <v>414</v>
      </c>
      <c r="C320" t="s">
        <v>894</v>
      </c>
      <c r="D320" t="s">
        <v>412</v>
      </c>
    </row>
    <row r="321" spans="1:4" x14ac:dyDescent="0.25">
      <c r="A321" t="s">
        <v>415</v>
      </c>
      <c r="B321" t="s">
        <v>415</v>
      </c>
      <c r="C321" t="s">
        <v>894</v>
      </c>
      <c r="D321" t="s">
        <v>412</v>
      </c>
    </row>
    <row r="322" spans="1:4" x14ac:dyDescent="0.25">
      <c r="A322" t="s">
        <v>416</v>
      </c>
      <c r="B322" t="s">
        <v>416</v>
      </c>
      <c r="C322" t="s">
        <v>894</v>
      </c>
      <c r="D322" t="s">
        <v>412</v>
      </c>
    </row>
    <row r="323" spans="1:4" x14ac:dyDescent="0.25">
      <c r="A323" t="s">
        <v>417</v>
      </c>
      <c r="B323" t="s">
        <v>417</v>
      </c>
      <c r="C323" t="s">
        <v>894</v>
      </c>
      <c r="D323" t="s">
        <v>412</v>
      </c>
    </row>
    <row r="324" spans="1:4" x14ac:dyDescent="0.25">
      <c r="A324" t="s">
        <v>418</v>
      </c>
      <c r="B324" t="s">
        <v>418</v>
      </c>
      <c r="C324" t="s">
        <v>894</v>
      </c>
      <c r="D324" t="s">
        <v>412</v>
      </c>
    </row>
    <row r="325" spans="1:4" x14ac:dyDescent="0.25">
      <c r="A325" t="s">
        <v>419</v>
      </c>
      <c r="B325" t="s">
        <v>419</v>
      </c>
      <c r="C325" t="s">
        <v>894</v>
      </c>
      <c r="D325" t="s">
        <v>412</v>
      </c>
    </row>
    <row r="326" spans="1:4" x14ac:dyDescent="0.25">
      <c r="A326" t="s">
        <v>420</v>
      </c>
      <c r="B326" t="s">
        <v>420</v>
      </c>
      <c r="C326" t="s">
        <v>894</v>
      </c>
      <c r="D326" t="s">
        <v>412</v>
      </c>
    </row>
    <row r="327" spans="1:4" x14ac:dyDescent="0.25">
      <c r="A327" t="s">
        <v>421</v>
      </c>
      <c r="B327" t="s">
        <v>421</v>
      </c>
      <c r="C327" t="s">
        <v>894</v>
      </c>
      <c r="D327" t="s">
        <v>412</v>
      </c>
    </row>
    <row r="328" spans="1:4" x14ac:dyDescent="0.25">
      <c r="A328" t="s">
        <v>422</v>
      </c>
      <c r="B328" t="s">
        <v>422</v>
      </c>
      <c r="C328" t="s">
        <v>813</v>
      </c>
      <c r="D328" t="s">
        <v>423</v>
      </c>
    </row>
    <row r="329" spans="1:4" x14ac:dyDescent="0.25">
      <c r="A329" t="s">
        <v>424</v>
      </c>
      <c r="B329" t="s">
        <v>424</v>
      </c>
      <c r="C329" t="s">
        <v>813</v>
      </c>
      <c r="D329" t="s">
        <v>423</v>
      </c>
    </row>
    <row r="330" spans="1:4" x14ac:dyDescent="0.25">
      <c r="A330" t="s">
        <v>425</v>
      </c>
      <c r="B330" t="s">
        <v>425</v>
      </c>
      <c r="C330" t="s">
        <v>813</v>
      </c>
      <c r="D330" t="s">
        <v>423</v>
      </c>
    </row>
    <row r="331" spans="1:4" x14ac:dyDescent="0.25">
      <c r="A331" t="s">
        <v>426</v>
      </c>
      <c r="B331" t="s">
        <v>426</v>
      </c>
      <c r="C331" t="s">
        <v>813</v>
      </c>
      <c r="D331" t="s">
        <v>423</v>
      </c>
    </row>
    <row r="332" spans="1:4" x14ac:dyDescent="0.25">
      <c r="A332" t="s">
        <v>427</v>
      </c>
      <c r="B332" t="s">
        <v>427</v>
      </c>
      <c r="C332" t="s">
        <v>813</v>
      </c>
      <c r="D332" t="s">
        <v>423</v>
      </c>
    </row>
    <row r="333" spans="1:4" x14ac:dyDescent="0.25">
      <c r="A333" t="s">
        <v>428</v>
      </c>
      <c r="B333" t="s">
        <v>428</v>
      </c>
      <c r="C333" t="s">
        <v>813</v>
      </c>
      <c r="D333" t="s">
        <v>423</v>
      </c>
    </row>
    <row r="334" spans="1:4" x14ac:dyDescent="0.25">
      <c r="A334" t="s">
        <v>429</v>
      </c>
      <c r="B334" t="s">
        <v>429</v>
      </c>
      <c r="C334" t="s">
        <v>813</v>
      </c>
      <c r="D334" t="s">
        <v>423</v>
      </c>
    </row>
    <row r="335" spans="1:4" x14ac:dyDescent="0.25">
      <c r="A335" t="s">
        <v>430</v>
      </c>
      <c r="B335" t="s">
        <v>430</v>
      </c>
      <c r="C335" t="s">
        <v>813</v>
      </c>
      <c r="D335" t="s">
        <v>423</v>
      </c>
    </row>
    <row r="336" spans="1:4" x14ac:dyDescent="0.25">
      <c r="A336" t="s">
        <v>431</v>
      </c>
      <c r="B336" t="s">
        <v>431</v>
      </c>
      <c r="C336" t="s">
        <v>813</v>
      </c>
      <c r="D336" t="s">
        <v>423</v>
      </c>
    </row>
    <row r="337" spans="1:4" x14ac:dyDescent="0.25">
      <c r="A337" t="s">
        <v>432</v>
      </c>
      <c r="B337" t="s">
        <v>432</v>
      </c>
      <c r="C337" t="s">
        <v>813</v>
      </c>
      <c r="D337" t="s">
        <v>423</v>
      </c>
    </row>
    <row r="338" spans="1:4" x14ac:dyDescent="0.25">
      <c r="A338" t="s">
        <v>433</v>
      </c>
      <c r="B338" t="s">
        <v>433</v>
      </c>
      <c r="C338" t="s">
        <v>813</v>
      </c>
      <c r="D338" t="s">
        <v>423</v>
      </c>
    </row>
    <row r="339" spans="1:4" x14ac:dyDescent="0.25">
      <c r="A339" t="s">
        <v>434</v>
      </c>
      <c r="B339" t="s">
        <v>434</v>
      </c>
      <c r="C339" t="s">
        <v>813</v>
      </c>
      <c r="D339" t="s">
        <v>423</v>
      </c>
    </row>
    <row r="340" spans="1:4" x14ac:dyDescent="0.25">
      <c r="A340" t="s">
        <v>435</v>
      </c>
      <c r="B340" t="s">
        <v>435</v>
      </c>
      <c r="C340" t="s">
        <v>813</v>
      </c>
      <c r="D340" t="s">
        <v>423</v>
      </c>
    </row>
    <row r="341" spans="1:4" x14ac:dyDescent="0.25">
      <c r="A341" t="s">
        <v>436</v>
      </c>
      <c r="B341" t="s">
        <v>436</v>
      </c>
      <c r="D341" t="s">
        <v>423</v>
      </c>
    </row>
    <row r="342" spans="1:4" x14ac:dyDescent="0.25">
      <c r="A342" t="s">
        <v>437</v>
      </c>
      <c r="B342" t="s">
        <v>437</v>
      </c>
      <c r="D342" t="s">
        <v>423</v>
      </c>
    </row>
    <row r="343" spans="1:4" x14ac:dyDescent="0.25">
      <c r="A343" t="s">
        <v>438</v>
      </c>
      <c r="B343" t="s">
        <v>438</v>
      </c>
      <c r="D343" t="s">
        <v>423</v>
      </c>
    </row>
    <row r="344" spans="1:4" x14ac:dyDescent="0.25">
      <c r="A344" t="s">
        <v>439</v>
      </c>
      <c r="B344" t="s">
        <v>439</v>
      </c>
      <c r="D344" t="s">
        <v>423</v>
      </c>
    </row>
    <row r="345" spans="1:4" x14ac:dyDescent="0.25">
      <c r="A345" t="s">
        <v>440</v>
      </c>
      <c r="B345" t="s">
        <v>440</v>
      </c>
      <c r="D345" t="s">
        <v>423</v>
      </c>
    </row>
    <row r="346" spans="1:4" x14ac:dyDescent="0.25">
      <c r="A346" t="s">
        <v>441</v>
      </c>
      <c r="B346" t="s">
        <v>441</v>
      </c>
      <c r="D346" t="s">
        <v>423</v>
      </c>
    </row>
    <row r="347" spans="1:4" x14ac:dyDescent="0.25">
      <c r="A347" t="s">
        <v>442</v>
      </c>
      <c r="B347" t="s">
        <v>442</v>
      </c>
      <c r="D347" t="s">
        <v>423</v>
      </c>
    </row>
    <row r="348" spans="1:4" x14ac:dyDescent="0.25">
      <c r="A348" t="s">
        <v>443</v>
      </c>
      <c r="B348" t="s">
        <v>443</v>
      </c>
      <c r="D348" t="s">
        <v>423</v>
      </c>
    </row>
    <row r="349" spans="1:4" x14ac:dyDescent="0.25">
      <c r="A349" t="s">
        <v>444</v>
      </c>
      <c r="B349" t="s">
        <v>444</v>
      </c>
      <c r="D349" t="s">
        <v>423</v>
      </c>
    </row>
    <row r="350" spans="1:4" x14ac:dyDescent="0.25">
      <c r="A350" t="s">
        <v>445</v>
      </c>
      <c r="B350" t="s">
        <v>445</v>
      </c>
      <c r="D350" t="s">
        <v>423</v>
      </c>
    </row>
    <row r="351" spans="1:4" x14ac:dyDescent="0.25">
      <c r="A351" t="s">
        <v>446</v>
      </c>
      <c r="B351" t="s">
        <v>446</v>
      </c>
      <c r="D351" t="s">
        <v>423</v>
      </c>
    </row>
    <row r="352" spans="1:4" x14ac:dyDescent="0.25">
      <c r="A352" t="s">
        <v>447</v>
      </c>
      <c r="B352" t="s">
        <v>447</v>
      </c>
      <c r="D352" t="s">
        <v>423</v>
      </c>
    </row>
    <row r="353" spans="1:4" x14ac:dyDescent="0.25">
      <c r="A353" t="s">
        <v>448</v>
      </c>
      <c r="B353" t="s">
        <v>448</v>
      </c>
      <c r="D353" t="s">
        <v>423</v>
      </c>
    </row>
    <row r="354" spans="1:4" x14ac:dyDescent="0.25">
      <c r="A354" t="s">
        <v>449</v>
      </c>
      <c r="B354" t="s">
        <v>449</v>
      </c>
      <c r="D354" t="s">
        <v>423</v>
      </c>
    </row>
    <row r="355" spans="1:4" x14ac:dyDescent="0.25">
      <c r="A355" t="s">
        <v>450</v>
      </c>
      <c r="B355" t="s">
        <v>450</v>
      </c>
      <c r="D355" t="s">
        <v>423</v>
      </c>
    </row>
    <row r="356" spans="1:4" x14ac:dyDescent="0.25">
      <c r="A356" t="s">
        <v>451</v>
      </c>
      <c r="B356" t="s">
        <v>451</v>
      </c>
      <c r="D356" t="s">
        <v>423</v>
      </c>
    </row>
    <row r="357" spans="1:4" x14ac:dyDescent="0.25">
      <c r="A357" t="s">
        <v>452</v>
      </c>
      <c r="B357" t="s">
        <v>452</v>
      </c>
      <c r="D357" t="s">
        <v>423</v>
      </c>
    </row>
    <row r="358" spans="1:4" x14ac:dyDescent="0.25">
      <c r="A358" t="s">
        <v>453</v>
      </c>
      <c r="B358" t="s">
        <v>453</v>
      </c>
      <c r="D358" t="s">
        <v>423</v>
      </c>
    </row>
    <row r="359" spans="1:4" x14ac:dyDescent="0.25">
      <c r="A359" t="s">
        <v>454</v>
      </c>
      <c r="B359" t="s">
        <v>454</v>
      </c>
      <c r="D359" t="s">
        <v>423</v>
      </c>
    </row>
    <row r="360" spans="1:4" x14ac:dyDescent="0.25">
      <c r="A360" t="s">
        <v>455</v>
      </c>
      <c r="B360" t="s">
        <v>455</v>
      </c>
      <c r="D360" t="s">
        <v>423</v>
      </c>
    </row>
    <row r="361" spans="1:4" x14ac:dyDescent="0.25">
      <c r="A361" t="s">
        <v>456</v>
      </c>
      <c r="B361" t="s">
        <v>456</v>
      </c>
      <c r="D361" t="s">
        <v>423</v>
      </c>
    </row>
    <row r="362" spans="1:4" x14ac:dyDescent="0.25">
      <c r="A362" t="s">
        <v>457</v>
      </c>
      <c r="B362" t="s">
        <v>457</v>
      </c>
      <c r="D362" t="s">
        <v>423</v>
      </c>
    </row>
    <row r="363" spans="1:4" x14ac:dyDescent="0.25">
      <c r="A363" t="s">
        <v>458</v>
      </c>
      <c r="B363" t="s">
        <v>458</v>
      </c>
      <c r="D363" t="s">
        <v>423</v>
      </c>
    </row>
    <row r="364" spans="1:4" x14ac:dyDescent="0.25">
      <c r="A364" t="s">
        <v>459</v>
      </c>
      <c r="B364" t="s">
        <v>459</v>
      </c>
      <c r="D364" t="s">
        <v>423</v>
      </c>
    </row>
    <row r="365" spans="1:4" x14ac:dyDescent="0.25">
      <c r="A365" t="s">
        <v>460</v>
      </c>
      <c r="B365" t="s">
        <v>460</v>
      </c>
      <c r="D365" t="s">
        <v>423</v>
      </c>
    </row>
    <row r="366" spans="1:4" x14ac:dyDescent="0.25">
      <c r="A366" t="s">
        <v>461</v>
      </c>
      <c r="B366" t="s">
        <v>461</v>
      </c>
      <c r="D366" t="s">
        <v>423</v>
      </c>
    </row>
    <row r="367" spans="1:4" x14ac:dyDescent="0.25">
      <c r="A367" t="s">
        <v>462</v>
      </c>
      <c r="B367" t="s">
        <v>462</v>
      </c>
      <c r="D367" t="s">
        <v>423</v>
      </c>
    </row>
    <row r="368" spans="1:4" x14ac:dyDescent="0.25">
      <c r="A368" t="s">
        <v>463</v>
      </c>
      <c r="B368" t="s">
        <v>463</v>
      </c>
      <c r="D368" t="s">
        <v>423</v>
      </c>
    </row>
    <row r="369" spans="1:4" x14ac:dyDescent="0.25">
      <c r="A369" t="s">
        <v>464</v>
      </c>
      <c r="B369" t="s">
        <v>464</v>
      </c>
      <c r="D369" t="s">
        <v>423</v>
      </c>
    </row>
    <row r="370" spans="1:4" x14ac:dyDescent="0.25">
      <c r="A370" t="s">
        <v>465</v>
      </c>
      <c r="B370" t="s">
        <v>465</v>
      </c>
      <c r="D370" t="s">
        <v>423</v>
      </c>
    </row>
    <row r="371" spans="1:4" x14ac:dyDescent="0.25">
      <c r="A371" t="s">
        <v>466</v>
      </c>
      <c r="B371" t="s">
        <v>466</v>
      </c>
      <c r="D371" t="s">
        <v>423</v>
      </c>
    </row>
    <row r="372" spans="1:4" x14ac:dyDescent="0.25">
      <c r="A372" t="s">
        <v>467</v>
      </c>
      <c r="B372" t="s">
        <v>467</v>
      </c>
      <c r="D372" t="s">
        <v>423</v>
      </c>
    </row>
    <row r="373" spans="1:4" x14ac:dyDescent="0.25">
      <c r="A373" t="s">
        <v>468</v>
      </c>
      <c r="B373" t="s">
        <v>468</v>
      </c>
      <c r="D373" t="s">
        <v>423</v>
      </c>
    </row>
    <row r="374" spans="1:4" x14ac:dyDescent="0.25">
      <c r="A374" t="s">
        <v>469</v>
      </c>
      <c r="B374" t="s">
        <v>469</v>
      </c>
      <c r="D374" t="s">
        <v>423</v>
      </c>
    </row>
    <row r="375" spans="1:4" x14ac:dyDescent="0.25">
      <c r="A375" t="s">
        <v>470</v>
      </c>
      <c r="B375" t="s">
        <v>470</v>
      </c>
      <c r="D375" t="s">
        <v>423</v>
      </c>
    </row>
    <row r="376" spans="1:4" x14ac:dyDescent="0.25">
      <c r="A376" t="s">
        <v>471</v>
      </c>
      <c r="B376" t="s">
        <v>471</v>
      </c>
      <c r="D376" t="s">
        <v>423</v>
      </c>
    </row>
    <row r="377" spans="1:4" x14ac:dyDescent="0.25">
      <c r="A377" t="s">
        <v>472</v>
      </c>
      <c r="B377" t="s">
        <v>472</v>
      </c>
      <c r="D377" t="s">
        <v>423</v>
      </c>
    </row>
    <row r="378" spans="1:4" x14ac:dyDescent="0.25">
      <c r="A378" t="s">
        <v>473</v>
      </c>
      <c r="B378" t="s">
        <v>473</v>
      </c>
      <c r="D378" t="s">
        <v>423</v>
      </c>
    </row>
    <row r="379" spans="1:4" x14ac:dyDescent="0.25">
      <c r="A379" t="s">
        <v>474</v>
      </c>
      <c r="B379" t="s">
        <v>474</v>
      </c>
      <c r="D379" t="s">
        <v>423</v>
      </c>
    </row>
    <row r="380" spans="1:4" x14ac:dyDescent="0.25">
      <c r="A380" t="s">
        <v>475</v>
      </c>
      <c r="B380" t="s">
        <v>475</v>
      </c>
      <c r="D380" t="s">
        <v>423</v>
      </c>
    </row>
    <row r="381" spans="1:4" x14ac:dyDescent="0.25">
      <c r="A381" t="s">
        <v>476</v>
      </c>
      <c r="B381" t="s">
        <v>476</v>
      </c>
      <c r="D381" t="s">
        <v>423</v>
      </c>
    </row>
    <row r="382" spans="1:4" x14ac:dyDescent="0.25">
      <c r="A382" t="s">
        <v>477</v>
      </c>
      <c r="B382" t="s">
        <v>477</v>
      </c>
      <c r="D382" t="s">
        <v>423</v>
      </c>
    </row>
    <row r="383" spans="1:4" x14ac:dyDescent="0.25">
      <c r="A383" t="s">
        <v>478</v>
      </c>
      <c r="B383" t="s">
        <v>478</v>
      </c>
      <c r="D383" t="s">
        <v>423</v>
      </c>
    </row>
    <row r="384" spans="1:4" x14ac:dyDescent="0.25">
      <c r="A384" t="s">
        <v>479</v>
      </c>
      <c r="B384" t="s">
        <v>479</v>
      </c>
      <c r="D384" t="s">
        <v>423</v>
      </c>
    </row>
    <row r="385" spans="1:4" x14ac:dyDescent="0.25">
      <c r="A385" t="s">
        <v>480</v>
      </c>
      <c r="B385" t="s">
        <v>480</v>
      </c>
      <c r="D385" t="s">
        <v>423</v>
      </c>
    </row>
    <row r="386" spans="1:4" x14ac:dyDescent="0.25">
      <c r="A386" t="s">
        <v>481</v>
      </c>
      <c r="B386" t="s">
        <v>481</v>
      </c>
      <c r="D386" t="s">
        <v>423</v>
      </c>
    </row>
    <row r="387" spans="1:4" x14ac:dyDescent="0.25">
      <c r="A387" t="s">
        <v>482</v>
      </c>
      <c r="B387" t="s">
        <v>482</v>
      </c>
      <c r="D387" t="s">
        <v>423</v>
      </c>
    </row>
    <row r="388" spans="1:4" x14ac:dyDescent="0.25">
      <c r="A388" t="s">
        <v>483</v>
      </c>
      <c r="B388" t="s">
        <v>483</v>
      </c>
      <c r="D388" t="s">
        <v>423</v>
      </c>
    </row>
    <row r="389" spans="1:4" x14ac:dyDescent="0.25">
      <c r="A389" t="s">
        <v>484</v>
      </c>
      <c r="B389" t="s">
        <v>484</v>
      </c>
      <c r="D389" t="s">
        <v>423</v>
      </c>
    </row>
    <row r="390" spans="1:4" x14ac:dyDescent="0.25">
      <c r="A390" t="s">
        <v>485</v>
      </c>
      <c r="B390" t="s">
        <v>485</v>
      </c>
      <c r="D390" t="s">
        <v>423</v>
      </c>
    </row>
    <row r="391" spans="1:4" x14ac:dyDescent="0.25">
      <c r="A391" t="s">
        <v>486</v>
      </c>
      <c r="B391" t="s">
        <v>486</v>
      </c>
      <c r="D391" t="s">
        <v>423</v>
      </c>
    </row>
    <row r="392" spans="1:4" x14ac:dyDescent="0.25">
      <c r="A392" t="s">
        <v>487</v>
      </c>
      <c r="B392" t="s">
        <v>487</v>
      </c>
      <c r="D392" t="s">
        <v>423</v>
      </c>
    </row>
    <row r="393" spans="1:4" x14ac:dyDescent="0.25">
      <c r="A393" t="s">
        <v>488</v>
      </c>
      <c r="B393" t="s">
        <v>488</v>
      </c>
      <c r="D393" t="s">
        <v>423</v>
      </c>
    </row>
    <row r="394" spans="1:4" x14ac:dyDescent="0.25">
      <c r="A394" t="s">
        <v>489</v>
      </c>
      <c r="B394" t="s">
        <v>489</v>
      </c>
      <c r="D394" t="s">
        <v>423</v>
      </c>
    </row>
    <row r="395" spans="1:4" x14ac:dyDescent="0.25">
      <c r="A395" t="s">
        <v>490</v>
      </c>
      <c r="B395" t="s">
        <v>490</v>
      </c>
      <c r="D395" t="s">
        <v>423</v>
      </c>
    </row>
    <row r="396" spans="1:4" x14ac:dyDescent="0.25">
      <c r="A396" t="s">
        <v>491</v>
      </c>
      <c r="B396" t="s">
        <v>491</v>
      </c>
      <c r="D396" t="s">
        <v>423</v>
      </c>
    </row>
    <row r="397" spans="1:4" x14ac:dyDescent="0.25">
      <c r="A397" t="s">
        <v>492</v>
      </c>
      <c r="B397" t="s">
        <v>492</v>
      </c>
      <c r="D397" t="s">
        <v>423</v>
      </c>
    </row>
    <row r="398" spans="1:4" x14ac:dyDescent="0.25">
      <c r="A398" t="s">
        <v>493</v>
      </c>
      <c r="B398" t="s">
        <v>493</v>
      </c>
      <c r="D398" t="s">
        <v>423</v>
      </c>
    </row>
    <row r="399" spans="1:4" x14ac:dyDescent="0.25">
      <c r="A399" t="s">
        <v>494</v>
      </c>
      <c r="B399" t="s">
        <v>494</v>
      </c>
      <c r="D399" t="s">
        <v>423</v>
      </c>
    </row>
    <row r="400" spans="1:4" x14ac:dyDescent="0.25">
      <c r="A400" t="s">
        <v>495</v>
      </c>
      <c r="B400" t="s">
        <v>495</v>
      </c>
      <c r="D400" t="s">
        <v>423</v>
      </c>
    </row>
    <row r="401" spans="1:4" x14ac:dyDescent="0.25">
      <c r="A401" t="s">
        <v>496</v>
      </c>
      <c r="B401" t="s">
        <v>496</v>
      </c>
      <c r="D401" t="s">
        <v>423</v>
      </c>
    </row>
    <row r="402" spans="1:4" x14ac:dyDescent="0.25">
      <c r="A402" t="s">
        <v>497</v>
      </c>
      <c r="B402" t="s">
        <v>497</v>
      </c>
      <c r="D402" t="s">
        <v>423</v>
      </c>
    </row>
    <row r="403" spans="1:4" x14ac:dyDescent="0.25">
      <c r="A403" t="s">
        <v>498</v>
      </c>
      <c r="B403" t="s">
        <v>498</v>
      </c>
      <c r="D403" t="s">
        <v>423</v>
      </c>
    </row>
    <row r="404" spans="1:4" x14ac:dyDescent="0.25">
      <c r="A404" t="s">
        <v>499</v>
      </c>
      <c r="B404" t="s">
        <v>499</v>
      </c>
      <c r="D404" t="s">
        <v>423</v>
      </c>
    </row>
    <row r="405" spans="1:4" x14ac:dyDescent="0.25">
      <c r="A405" t="s">
        <v>500</v>
      </c>
      <c r="B405" t="s">
        <v>500</v>
      </c>
      <c r="D405" t="s">
        <v>423</v>
      </c>
    </row>
    <row r="406" spans="1:4" x14ac:dyDescent="0.25">
      <c r="A406" t="s">
        <v>501</v>
      </c>
      <c r="B406" t="s">
        <v>501</v>
      </c>
      <c r="D406" t="s">
        <v>423</v>
      </c>
    </row>
    <row r="407" spans="1:4" x14ac:dyDescent="0.25">
      <c r="A407" t="s">
        <v>502</v>
      </c>
      <c r="B407" t="s">
        <v>502</v>
      </c>
      <c r="D407" t="s">
        <v>423</v>
      </c>
    </row>
    <row r="408" spans="1:4" x14ac:dyDescent="0.25">
      <c r="A408" t="s">
        <v>503</v>
      </c>
      <c r="B408" t="s">
        <v>503</v>
      </c>
      <c r="D408" t="s">
        <v>423</v>
      </c>
    </row>
    <row r="409" spans="1:4" x14ac:dyDescent="0.25">
      <c r="A409" t="s">
        <v>504</v>
      </c>
      <c r="B409" t="s">
        <v>504</v>
      </c>
      <c r="D409" t="s">
        <v>423</v>
      </c>
    </row>
    <row r="410" spans="1:4" x14ac:dyDescent="0.25">
      <c r="A410" t="s">
        <v>505</v>
      </c>
      <c r="B410" t="s">
        <v>505</v>
      </c>
      <c r="D410" t="s">
        <v>423</v>
      </c>
    </row>
    <row r="411" spans="1:4" x14ac:dyDescent="0.25">
      <c r="A411" t="s">
        <v>506</v>
      </c>
      <c r="B411" t="s">
        <v>506</v>
      </c>
      <c r="D411" t="s">
        <v>423</v>
      </c>
    </row>
    <row r="412" spans="1:4" x14ac:dyDescent="0.25">
      <c r="A412" t="s">
        <v>507</v>
      </c>
      <c r="B412" t="s">
        <v>507</v>
      </c>
      <c r="D412" t="s">
        <v>423</v>
      </c>
    </row>
    <row r="413" spans="1:4" x14ac:dyDescent="0.25">
      <c r="A413" t="s">
        <v>508</v>
      </c>
      <c r="B413" t="s">
        <v>508</v>
      </c>
      <c r="D413" t="s">
        <v>423</v>
      </c>
    </row>
    <row r="414" spans="1:4" x14ac:dyDescent="0.25">
      <c r="A414" t="s">
        <v>509</v>
      </c>
      <c r="B414" t="s">
        <v>509</v>
      </c>
      <c r="D414" t="s">
        <v>423</v>
      </c>
    </row>
    <row r="415" spans="1:4" x14ac:dyDescent="0.25">
      <c r="A415" t="s">
        <v>510</v>
      </c>
      <c r="B415" t="s">
        <v>510</v>
      </c>
      <c r="D415" t="s">
        <v>423</v>
      </c>
    </row>
    <row r="416" spans="1:4" x14ac:dyDescent="0.25">
      <c r="A416" t="s">
        <v>511</v>
      </c>
      <c r="B416" t="s">
        <v>511</v>
      </c>
      <c r="D416" t="s">
        <v>423</v>
      </c>
    </row>
    <row r="417" spans="1:4" x14ac:dyDescent="0.25">
      <c r="A417" t="s">
        <v>512</v>
      </c>
      <c r="B417" t="s">
        <v>512</v>
      </c>
      <c r="D417" t="s">
        <v>423</v>
      </c>
    </row>
    <row r="418" spans="1:4" x14ac:dyDescent="0.25">
      <c r="A418" t="s">
        <v>513</v>
      </c>
      <c r="B418" t="s">
        <v>513</v>
      </c>
      <c r="D418" t="s">
        <v>423</v>
      </c>
    </row>
    <row r="419" spans="1:4" x14ac:dyDescent="0.25">
      <c r="A419" t="s">
        <v>514</v>
      </c>
      <c r="B419" t="s">
        <v>514</v>
      </c>
      <c r="D419" t="s">
        <v>423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zoomScaleNormal="100" workbookViewId="0">
      <selection activeCell="G53" sqref="G53"/>
    </sheetView>
  </sheetViews>
  <sheetFormatPr defaultColWidth="8.7109375" defaultRowHeight="15" x14ac:dyDescent="0.25"/>
  <cols>
    <col min="1" max="1" width="13" customWidth="1"/>
    <col min="2" max="2" width="9" customWidth="1"/>
    <col min="3" max="3" width="13" customWidth="1"/>
  </cols>
  <sheetData>
    <row r="1" spans="1:3" x14ac:dyDescent="0.25">
      <c r="A1" s="1" t="s">
        <v>515</v>
      </c>
      <c r="B1" s="1" t="s">
        <v>516</v>
      </c>
      <c r="C1" s="1" t="s">
        <v>517</v>
      </c>
    </row>
    <row r="2" spans="1:3" x14ac:dyDescent="0.25">
      <c r="A2" t="s">
        <v>518</v>
      </c>
      <c r="B2" t="s">
        <v>519</v>
      </c>
      <c r="C2" t="s">
        <v>520</v>
      </c>
    </row>
    <row r="3" spans="1:3" x14ac:dyDescent="0.25">
      <c r="A3" t="s">
        <v>521</v>
      </c>
      <c r="B3" t="s">
        <v>519</v>
      </c>
      <c r="C3" t="s">
        <v>520</v>
      </c>
    </row>
    <row r="4" spans="1:3" x14ac:dyDescent="0.25">
      <c r="A4" t="s">
        <v>522</v>
      </c>
      <c r="B4" t="s">
        <v>519</v>
      </c>
      <c r="C4" t="s">
        <v>520</v>
      </c>
    </row>
    <row r="5" spans="1:3" x14ac:dyDescent="0.25">
      <c r="A5" t="s">
        <v>523</v>
      </c>
      <c r="B5" t="s">
        <v>519</v>
      </c>
      <c r="C5" t="s">
        <v>520</v>
      </c>
    </row>
    <row r="6" spans="1:3" x14ac:dyDescent="0.25">
      <c r="A6" t="s">
        <v>524</v>
      </c>
      <c r="B6" t="s">
        <v>519</v>
      </c>
      <c r="C6" t="s">
        <v>520</v>
      </c>
    </row>
    <row r="7" spans="1:3" x14ac:dyDescent="0.25">
      <c r="A7" t="s">
        <v>525</v>
      </c>
      <c r="B7" t="s">
        <v>519</v>
      </c>
      <c r="C7" t="s">
        <v>520</v>
      </c>
    </row>
    <row r="8" spans="1:3" x14ac:dyDescent="0.25">
      <c r="A8" t="s">
        <v>526</v>
      </c>
      <c r="B8" t="s">
        <v>519</v>
      </c>
      <c r="C8" t="s">
        <v>520</v>
      </c>
    </row>
    <row r="9" spans="1:3" x14ac:dyDescent="0.25">
      <c r="A9" t="s">
        <v>527</v>
      </c>
      <c r="B9" t="s">
        <v>519</v>
      </c>
      <c r="C9" t="s">
        <v>520</v>
      </c>
    </row>
    <row r="10" spans="1:3" x14ac:dyDescent="0.25">
      <c r="A10" t="s">
        <v>528</v>
      </c>
      <c r="B10" t="s">
        <v>519</v>
      </c>
      <c r="C10" t="s">
        <v>520</v>
      </c>
    </row>
    <row r="11" spans="1:3" x14ac:dyDescent="0.25">
      <c r="A11" t="s">
        <v>529</v>
      </c>
      <c r="B11" t="s">
        <v>519</v>
      </c>
      <c r="C11" t="s">
        <v>520</v>
      </c>
    </row>
    <row r="12" spans="1:3" x14ac:dyDescent="0.25">
      <c r="A12" t="s">
        <v>530</v>
      </c>
      <c r="B12" t="s">
        <v>519</v>
      </c>
      <c r="C12" t="s">
        <v>520</v>
      </c>
    </row>
    <row r="13" spans="1:3" x14ac:dyDescent="0.25">
      <c r="A13" t="s">
        <v>531</v>
      </c>
      <c r="B13" t="s">
        <v>519</v>
      </c>
      <c r="C13" t="s">
        <v>520</v>
      </c>
    </row>
    <row r="14" spans="1:3" x14ac:dyDescent="0.25">
      <c r="A14" t="s">
        <v>532</v>
      </c>
      <c r="B14" t="s">
        <v>519</v>
      </c>
      <c r="C14" t="s">
        <v>520</v>
      </c>
    </row>
    <row r="15" spans="1:3" x14ac:dyDescent="0.25">
      <c r="A15" t="s">
        <v>533</v>
      </c>
      <c r="B15" t="s">
        <v>519</v>
      </c>
      <c r="C15" t="s">
        <v>520</v>
      </c>
    </row>
    <row r="16" spans="1:3" x14ac:dyDescent="0.25">
      <c r="A16" t="s">
        <v>534</v>
      </c>
      <c r="B16" t="s">
        <v>519</v>
      </c>
      <c r="C16" t="s">
        <v>520</v>
      </c>
    </row>
    <row r="17" spans="1:3" x14ac:dyDescent="0.25">
      <c r="A17" t="s">
        <v>535</v>
      </c>
      <c r="B17" t="s">
        <v>519</v>
      </c>
      <c r="C17" t="s">
        <v>520</v>
      </c>
    </row>
    <row r="18" spans="1:3" x14ac:dyDescent="0.25">
      <c r="A18" t="s">
        <v>536</v>
      </c>
      <c r="B18" t="s">
        <v>519</v>
      </c>
      <c r="C18" t="s">
        <v>520</v>
      </c>
    </row>
    <row r="19" spans="1:3" x14ac:dyDescent="0.25">
      <c r="A19" t="s">
        <v>537</v>
      </c>
      <c r="B19" t="s">
        <v>519</v>
      </c>
      <c r="C19" t="s">
        <v>520</v>
      </c>
    </row>
    <row r="20" spans="1:3" x14ac:dyDescent="0.25">
      <c r="A20" t="s">
        <v>538</v>
      </c>
      <c r="B20" t="s">
        <v>519</v>
      </c>
      <c r="C20" t="s">
        <v>520</v>
      </c>
    </row>
    <row r="21" spans="1:3" x14ac:dyDescent="0.25">
      <c r="A21" t="s">
        <v>539</v>
      </c>
      <c r="B21" t="s">
        <v>519</v>
      </c>
      <c r="C21" t="s">
        <v>520</v>
      </c>
    </row>
    <row r="22" spans="1:3" x14ac:dyDescent="0.25">
      <c r="A22" t="s">
        <v>540</v>
      </c>
      <c r="B22" t="s">
        <v>519</v>
      </c>
      <c r="C22" t="s">
        <v>520</v>
      </c>
    </row>
    <row r="23" spans="1:3" x14ac:dyDescent="0.25">
      <c r="A23" t="s">
        <v>541</v>
      </c>
      <c r="B23" t="s">
        <v>519</v>
      </c>
      <c r="C23" t="s">
        <v>520</v>
      </c>
    </row>
    <row r="24" spans="1:3" x14ac:dyDescent="0.25">
      <c r="A24" t="s">
        <v>542</v>
      </c>
      <c r="B24" t="s">
        <v>519</v>
      </c>
      <c r="C24" t="s">
        <v>520</v>
      </c>
    </row>
    <row r="25" spans="1:3" x14ac:dyDescent="0.25">
      <c r="A25" t="s">
        <v>543</v>
      </c>
      <c r="B25" t="s">
        <v>544</v>
      </c>
      <c r="C25" t="s">
        <v>520</v>
      </c>
    </row>
    <row r="26" spans="1:3" x14ac:dyDescent="0.25">
      <c r="A26" t="s">
        <v>545</v>
      </c>
      <c r="B26" t="s">
        <v>546</v>
      </c>
      <c r="C26" t="s">
        <v>520</v>
      </c>
    </row>
    <row r="27" spans="1:3" x14ac:dyDescent="0.25">
      <c r="A27" t="s">
        <v>547</v>
      </c>
      <c r="B27" t="s">
        <v>548</v>
      </c>
      <c r="C27" t="s">
        <v>520</v>
      </c>
    </row>
    <row r="28" spans="1:3" x14ac:dyDescent="0.25">
      <c r="A28" t="s">
        <v>549</v>
      </c>
      <c r="B28" t="s">
        <v>548</v>
      </c>
      <c r="C28" t="s">
        <v>520</v>
      </c>
    </row>
    <row r="29" spans="1:3" x14ac:dyDescent="0.25">
      <c r="A29" t="s">
        <v>550</v>
      </c>
      <c r="B29" t="s">
        <v>551</v>
      </c>
      <c r="C29" t="s">
        <v>520</v>
      </c>
    </row>
    <row r="30" spans="1:3" x14ac:dyDescent="0.25">
      <c r="A30" t="s">
        <v>552</v>
      </c>
      <c r="B30" t="s">
        <v>551</v>
      </c>
      <c r="C30" t="s">
        <v>520</v>
      </c>
    </row>
    <row r="31" spans="1:3" x14ac:dyDescent="0.25">
      <c r="A31" t="s">
        <v>553</v>
      </c>
      <c r="B31" t="s">
        <v>551</v>
      </c>
      <c r="C31" t="s">
        <v>520</v>
      </c>
    </row>
    <row r="32" spans="1:3" x14ac:dyDescent="0.25">
      <c r="A32" t="s">
        <v>554</v>
      </c>
      <c r="B32" t="s">
        <v>551</v>
      </c>
      <c r="C32" t="s">
        <v>520</v>
      </c>
    </row>
    <row r="33" spans="1:3" x14ac:dyDescent="0.25">
      <c r="A33" t="s">
        <v>555</v>
      </c>
      <c r="B33" t="s">
        <v>551</v>
      </c>
      <c r="C33" t="s">
        <v>520</v>
      </c>
    </row>
    <row r="34" spans="1:3" x14ac:dyDescent="0.25">
      <c r="A34" t="s">
        <v>556</v>
      </c>
      <c r="B34" t="s">
        <v>551</v>
      </c>
      <c r="C34" t="s">
        <v>520</v>
      </c>
    </row>
    <row r="35" spans="1:3" x14ac:dyDescent="0.25">
      <c r="A35" t="s">
        <v>557</v>
      </c>
      <c r="B35" t="s">
        <v>551</v>
      </c>
      <c r="C35" t="s">
        <v>520</v>
      </c>
    </row>
    <row r="36" spans="1:3" x14ac:dyDescent="0.25">
      <c r="A36" t="s">
        <v>558</v>
      </c>
      <c r="B36" t="s">
        <v>551</v>
      </c>
      <c r="C36" t="s">
        <v>520</v>
      </c>
    </row>
    <row r="37" spans="1:3" x14ac:dyDescent="0.25">
      <c r="A37" t="s">
        <v>559</v>
      </c>
      <c r="B37" t="s">
        <v>551</v>
      </c>
      <c r="C37" t="s">
        <v>520</v>
      </c>
    </row>
    <row r="38" spans="1:3" x14ac:dyDescent="0.25">
      <c r="A38" t="s">
        <v>560</v>
      </c>
      <c r="B38" t="s">
        <v>561</v>
      </c>
      <c r="C38" t="s">
        <v>520</v>
      </c>
    </row>
    <row r="39" spans="1:3" x14ac:dyDescent="0.25">
      <c r="A39" t="s">
        <v>562</v>
      </c>
      <c r="B39" t="s">
        <v>561</v>
      </c>
      <c r="C39" t="s">
        <v>520</v>
      </c>
    </row>
    <row r="40" spans="1:3" x14ac:dyDescent="0.25">
      <c r="A40" t="s">
        <v>563</v>
      </c>
      <c r="B40" t="s">
        <v>561</v>
      </c>
      <c r="C40" t="s">
        <v>520</v>
      </c>
    </row>
    <row r="41" spans="1:3" x14ac:dyDescent="0.25">
      <c r="A41" t="s">
        <v>564</v>
      </c>
      <c r="B41" t="s">
        <v>561</v>
      </c>
      <c r="C41" t="s">
        <v>520</v>
      </c>
    </row>
    <row r="42" spans="1:3" x14ac:dyDescent="0.25">
      <c r="A42" t="s">
        <v>565</v>
      </c>
      <c r="B42" t="s">
        <v>561</v>
      </c>
      <c r="C42" t="s">
        <v>520</v>
      </c>
    </row>
    <row r="43" spans="1:3" x14ac:dyDescent="0.25">
      <c r="A43" t="s">
        <v>566</v>
      </c>
      <c r="B43" t="s">
        <v>561</v>
      </c>
      <c r="C43" t="s">
        <v>520</v>
      </c>
    </row>
    <row r="44" spans="1:3" x14ac:dyDescent="0.25">
      <c r="A44" t="s">
        <v>567</v>
      </c>
      <c r="B44" t="s">
        <v>561</v>
      </c>
      <c r="C44" t="s">
        <v>520</v>
      </c>
    </row>
    <row r="45" spans="1:3" x14ac:dyDescent="0.25">
      <c r="A45" t="s">
        <v>568</v>
      </c>
      <c r="B45" t="s">
        <v>561</v>
      </c>
      <c r="C45" t="s">
        <v>520</v>
      </c>
    </row>
    <row r="46" spans="1:3" x14ac:dyDescent="0.25">
      <c r="A46" t="s">
        <v>569</v>
      </c>
      <c r="B46" t="s">
        <v>561</v>
      </c>
      <c r="C46" t="s">
        <v>520</v>
      </c>
    </row>
    <row r="47" spans="1:3" x14ac:dyDescent="0.25">
      <c r="A47" t="s">
        <v>570</v>
      </c>
      <c r="B47" t="s">
        <v>561</v>
      </c>
      <c r="C47" t="s">
        <v>520</v>
      </c>
    </row>
    <row r="48" spans="1:3" x14ac:dyDescent="0.25">
      <c r="A48" t="s">
        <v>571</v>
      </c>
      <c r="B48" t="s">
        <v>561</v>
      </c>
      <c r="C48" t="s">
        <v>520</v>
      </c>
    </row>
    <row r="49" spans="1:3" x14ac:dyDescent="0.25">
      <c r="A49" t="s">
        <v>572</v>
      </c>
      <c r="B49" t="s">
        <v>561</v>
      </c>
      <c r="C49" t="s">
        <v>520</v>
      </c>
    </row>
    <row r="50" spans="1:3" x14ac:dyDescent="0.25">
      <c r="A50" t="s">
        <v>573</v>
      </c>
      <c r="B50" t="s">
        <v>561</v>
      </c>
      <c r="C50" t="s">
        <v>520</v>
      </c>
    </row>
    <row r="51" spans="1:3" x14ac:dyDescent="0.25">
      <c r="A51" t="s">
        <v>574</v>
      </c>
      <c r="B51" t="s">
        <v>561</v>
      </c>
      <c r="C51" t="s">
        <v>520</v>
      </c>
    </row>
    <row r="52" spans="1:3" x14ac:dyDescent="0.25">
      <c r="A52" t="s">
        <v>575</v>
      </c>
      <c r="B52" t="s">
        <v>576</v>
      </c>
      <c r="C52" t="s">
        <v>577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1"/>
  <sheetViews>
    <sheetView zoomScale="83" zoomScaleNormal="100" workbookViewId="0">
      <selection activeCell="K14" sqref="K14"/>
    </sheetView>
  </sheetViews>
  <sheetFormatPr defaultColWidth="8.7109375" defaultRowHeight="15" x14ac:dyDescent="0.25"/>
  <cols>
    <col min="1" max="1" width="15" customWidth="1"/>
    <col min="2" max="2" width="12" customWidth="1"/>
    <col min="3" max="4" width="13" customWidth="1"/>
    <col min="5" max="5" width="10" customWidth="1"/>
    <col min="6" max="6" width="11.28515625" customWidth="1"/>
    <col min="7" max="7" width="13.710937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515</v>
      </c>
      <c r="E1" s="1" t="s">
        <v>578</v>
      </c>
      <c r="F1" s="1" t="s">
        <v>902</v>
      </c>
      <c r="G1" s="1" t="s">
        <v>903</v>
      </c>
    </row>
    <row r="2" spans="1:7" x14ac:dyDescent="0.25">
      <c r="A2" t="s">
        <v>15</v>
      </c>
      <c r="B2" t="s">
        <v>16</v>
      </c>
      <c r="C2" t="s">
        <v>17</v>
      </c>
      <c r="D2" t="s">
        <v>538</v>
      </c>
      <c r="E2">
        <v>40</v>
      </c>
      <c r="F2" s="15"/>
      <c r="G2" s="15">
        <f t="shared" ref="G2:G66" si="0">F2*E2</f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539</v>
      </c>
      <c r="E3">
        <v>26</v>
      </c>
      <c r="F3" s="15"/>
      <c r="G3" s="15">
        <f t="shared" si="0"/>
        <v>0</v>
      </c>
    </row>
    <row r="4" spans="1:7" x14ac:dyDescent="0.25">
      <c r="A4" t="s">
        <v>19</v>
      </c>
      <c r="B4" t="s">
        <v>16</v>
      </c>
      <c r="C4" t="s">
        <v>20</v>
      </c>
      <c r="D4" t="s">
        <v>527</v>
      </c>
      <c r="E4">
        <v>88</v>
      </c>
      <c r="F4" s="15"/>
      <c r="G4" s="15">
        <f t="shared" si="0"/>
        <v>0</v>
      </c>
    </row>
    <row r="5" spans="1:7" x14ac:dyDescent="0.25">
      <c r="A5" t="s">
        <v>19</v>
      </c>
      <c r="B5" t="s">
        <v>16</v>
      </c>
      <c r="C5" t="s">
        <v>20</v>
      </c>
      <c r="D5" t="s">
        <v>530</v>
      </c>
      <c r="E5">
        <v>35</v>
      </c>
      <c r="F5" s="15"/>
      <c r="G5" s="15">
        <f t="shared" si="0"/>
        <v>0</v>
      </c>
    </row>
    <row r="6" spans="1:7" x14ac:dyDescent="0.25">
      <c r="A6" t="s">
        <v>19</v>
      </c>
      <c r="B6" t="s">
        <v>16</v>
      </c>
      <c r="C6" t="s">
        <v>20</v>
      </c>
      <c r="D6" t="s">
        <v>543</v>
      </c>
      <c r="E6">
        <v>13</v>
      </c>
      <c r="F6" s="15"/>
      <c r="G6" s="15">
        <f t="shared" si="0"/>
        <v>0</v>
      </c>
    </row>
    <row r="7" spans="1:7" x14ac:dyDescent="0.25">
      <c r="A7" t="s">
        <v>25</v>
      </c>
      <c r="B7" t="s">
        <v>26</v>
      </c>
      <c r="C7" t="s">
        <v>17</v>
      </c>
      <c r="D7" t="s">
        <v>522</v>
      </c>
      <c r="E7">
        <v>54</v>
      </c>
      <c r="F7" s="15"/>
      <c r="G7" s="15">
        <f t="shared" si="0"/>
        <v>0</v>
      </c>
    </row>
    <row r="8" spans="1:7" x14ac:dyDescent="0.25">
      <c r="A8" t="s">
        <v>25</v>
      </c>
      <c r="B8" t="s">
        <v>26</v>
      </c>
      <c r="C8" t="s">
        <v>17</v>
      </c>
      <c r="D8" t="s">
        <v>528</v>
      </c>
      <c r="E8">
        <v>7</v>
      </c>
      <c r="F8" s="15"/>
      <c r="G8" s="15">
        <f t="shared" si="0"/>
        <v>0</v>
      </c>
    </row>
    <row r="9" spans="1:7" x14ac:dyDescent="0.25">
      <c r="A9" t="s">
        <v>25</v>
      </c>
      <c r="B9" t="s">
        <v>26</v>
      </c>
      <c r="C9" t="s">
        <v>17</v>
      </c>
      <c r="D9" t="s">
        <v>535</v>
      </c>
      <c r="E9">
        <v>288</v>
      </c>
      <c r="F9" s="15"/>
      <c r="G9" s="15">
        <f t="shared" si="0"/>
        <v>0</v>
      </c>
    </row>
    <row r="10" spans="1:7" x14ac:dyDescent="0.25">
      <c r="A10" t="s">
        <v>25</v>
      </c>
      <c r="B10" t="s">
        <v>26</v>
      </c>
      <c r="C10" t="s">
        <v>17</v>
      </c>
      <c r="D10" t="s">
        <v>538</v>
      </c>
      <c r="E10">
        <v>316</v>
      </c>
      <c r="F10" s="15"/>
      <c r="G10" s="15">
        <f t="shared" si="0"/>
        <v>0</v>
      </c>
    </row>
    <row r="11" spans="1:7" x14ac:dyDescent="0.25">
      <c r="A11" t="s">
        <v>25</v>
      </c>
      <c r="B11" t="s">
        <v>26</v>
      </c>
      <c r="C11" t="s">
        <v>17</v>
      </c>
      <c r="D11" t="s">
        <v>540</v>
      </c>
      <c r="E11">
        <v>80</v>
      </c>
      <c r="F11" s="15"/>
      <c r="G11" s="15">
        <f t="shared" si="0"/>
        <v>0</v>
      </c>
    </row>
    <row r="12" spans="1:7" x14ac:dyDescent="0.25">
      <c r="A12" t="s">
        <v>25</v>
      </c>
      <c r="B12" t="s">
        <v>26</v>
      </c>
      <c r="C12" t="s">
        <v>17</v>
      </c>
      <c r="D12" t="s">
        <v>537</v>
      </c>
      <c r="E12">
        <v>19</v>
      </c>
      <c r="F12" s="15"/>
      <c r="G12" s="15">
        <f t="shared" si="0"/>
        <v>0</v>
      </c>
    </row>
    <row r="13" spans="1:7" x14ac:dyDescent="0.25">
      <c r="A13" t="s">
        <v>25</v>
      </c>
      <c r="B13" t="s">
        <v>26</v>
      </c>
      <c r="C13" t="s">
        <v>17</v>
      </c>
      <c r="D13" t="s">
        <v>543</v>
      </c>
      <c r="E13">
        <v>72</v>
      </c>
      <c r="F13" s="15"/>
      <c r="G13" s="15">
        <f t="shared" si="0"/>
        <v>0</v>
      </c>
    </row>
    <row r="14" spans="1:7" x14ac:dyDescent="0.25">
      <c r="A14" t="s">
        <v>25</v>
      </c>
      <c r="B14" t="s">
        <v>26</v>
      </c>
      <c r="C14" t="s">
        <v>17</v>
      </c>
      <c r="D14" t="s">
        <v>547</v>
      </c>
      <c r="E14">
        <v>36</v>
      </c>
      <c r="F14" s="15"/>
      <c r="G14" s="15">
        <f t="shared" si="0"/>
        <v>0</v>
      </c>
    </row>
    <row r="15" spans="1:7" x14ac:dyDescent="0.25">
      <c r="A15" t="s">
        <v>27</v>
      </c>
      <c r="B15" t="s">
        <v>26</v>
      </c>
      <c r="C15" t="s">
        <v>20</v>
      </c>
      <c r="D15" t="s">
        <v>526</v>
      </c>
      <c r="E15">
        <v>20</v>
      </c>
      <c r="F15" s="15"/>
      <c r="G15" s="15">
        <f t="shared" si="0"/>
        <v>0</v>
      </c>
    </row>
    <row r="16" spans="1:7" x14ac:dyDescent="0.25">
      <c r="A16" t="s">
        <v>27</v>
      </c>
      <c r="B16" t="s">
        <v>26</v>
      </c>
      <c r="C16" t="s">
        <v>20</v>
      </c>
      <c r="D16" t="s">
        <v>530</v>
      </c>
      <c r="E16">
        <v>118</v>
      </c>
      <c r="F16" s="15"/>
      <c r="G16" s="15">
        <f t="shared" si="0"/>
        <v>0</v>
      </c>
    </row>
    <row r="17" spans="1:7" x14ac:dyDescent="0.25">
      <c r="A17" t="s">
        <v>27</v>
      </c>
      <c r="B17" t="s">
        <v>26</v>
      </c>
      <c r="C17" t="s">
        <v>20</v>
      </c>
      <c r="D17" t="s">
        <v>533</v>
      </c>
      <c r="E17">
        <v>47</v>
      </c>
      <c r="F17" s="15"/>
      <c r="G17" s="15">
        <f t="shared" si="0"/>
        <v>0</v>
      </c>
    </row>
    <row r="18" spans="1:7" x14ac:dyDescent="0.25">
      <c r="A18" t="s">
        <v>27</v>
      </c>
      <c r="B18" t="s">
        <v>26</v>
      </c>
      <c r="C18" t="s">
        <v>20</v>
      </c>
      <c r="D18" t="s">
        <v>522</v>
      </c>
      <c r="E18">
        <v>9</v>
      </c>
      <c r="F18" s="15"/>
      <c r="G18" s="15">
        <f t="shared" si="0"/>
        <v>0</v>
      </c>
    </row>
    <row r="19" spans="1:7" x14ac:dyDescent="0.25">
      <c r="A19" t="s">
        <v>27</v>
      </c>
      <c r="B19" t="s">
        <v>26</v>
      </c>
      <c r="C19" t="s">
        <v>20</v>
      </c>
      <c r="D19" t="s">
        <v>543</v>
      </c>
      <c r="E19">
        <v>31</v>
      </c>
      <c r="F19" s="15"/>
      <c r="G19" s="15">
        <f t="shared" si="0"/>
        <v>0</v>
      </c>
    </row>
    <row r="20" spans="1:7" x14ac:dyDescent="0.25">
      <c r="A20" t="s">
        <v>29</v>
      </c>
      <c r="B20" t="s">
        <v>26</v>
      </c>
      <c r="C20" t="s">
        <v>24</v>
      </c>
      <c r="D20" t="s">
        <v>534</v>
      </c>
      <c r="E20">
        <v>40</v>
      </c>
      <c r="F20" s="15"/>
      <c r="G20" s="15">
        <f t="shared" si="0"/>
        <v>0</v>
      </c>
    </row>
    <row r="21" spans="1:7" x14ac:dyDescent="0.25">
      <c r="A21" t="s">
        <v>30</v>
      </c>
      <c r="B21" t="s">
        <v>31</v>
      </c>
      <c r="C21" t="s">
        <v>17</v>
      </c>
      <c r="D21" t="s">
        <v>522</v>
      </c>
      <c r="E21">
        <v>67</v>
      </c>
      <c r="F21" s="15"/>
      <c r="G21" s="15">
        <f t="shared" si="0"/>
        <v>0</v>
      </c>
    </row>
    <row r="22" spans="1:7" x14ac:dyDescent="0.25">
      <c r="A22" t="s">
        <v>25</v>
      </c>
      <c r="B22" t="s">
        <v>26</v>
      </c>
      <c r="C22" t="s">
        <v>17</v>
      </c>
      <c r="D22" t="s">
        <v>536</v>
      </c>
      <c r="E22">
        <v>518</v>
      </c>
      <c r="F22" s="15"/>
      <c r="G22" s="15">
        <f t="shared" si="0"/>
        <v>0</v>
      </c>
    </row>
    <row r="23" spans="1:7" x14ac:dyDescent="0.25">
      <c r="A23" t="s">
        <v>30</v>
      </c>
      <c r="B23" t="s">
        <v>31</v>
      </c>
      <c r="C23" t="s">
        <v>17</v>
      </c>
      <c r="D23" t="s">
        <v>537</v>
      </c>
      <c r="E23">
        <v>200</v>
      </c>
      <c r="F23" s="15"/>
      <c r="G23" s="15">
        <f t="shared" si="0"/>
        <v>0</v>
      </c>
    </row>
    <row r="24" spans="1:7" x14ac:dyDescent="0.25">
      <c r="A24" t="s">
        <v>30</v>
      </c>
      <c r="B24" t="s">
        <v>31</v>
      </c>
      <c r="C24" t="s">
        <v>17</v>
      </c>
      <c r="D24" t="s">
        <v>538</v>
      </c>
      <c r="E24">
        <v>210</v>
      </c>
      <c r="F24" s="15"/>
      <c r="G24" s="15">
        <f t="shared" si="0"/>
        <v>0</v>
      </c>
    </row>
    <row r="25" spans="1:7" x14ac:dyDescent="0.25">
      <c r="A25" t="s">
        <v>30</v>
      </c>
      <c r="B25" t="s">
        <v>31</v>
      </c>
      <c r="C25" t="s">
        <v>17</v>
      </c>
      <c r="D25" t="s">
        <v>540</v>
      </c>
      <c r="E25">
        <v>470</v>
      </c>
      <c r="F25" s="15"/>
      <c r="G25" s="15">
        <f t="shared" si="0"/>
        <v>0</v>
      </c>
    </row>
    <row r="26" spans="1:7" x14ac:dyDescent="0.25">
      <c r="A26" t="s">
        <v>30</v>
      </c>
      <c r="B26" t="s">
        <v>31</v>
      </c>
      <c r="C26" t="s">
        <v>17</v>
      </c>
      <c r="D26" t="s">
        <v>543</v>
      </c>
      <c r="E26">
        <v>373</v>
      </c>
      <c r="F26" s="15"/>
      <c r="G26" s="15">
        <f t="shared" si="0"/>
        <v>0</v>
      </c>
    </row>
    <row r="27" spans="1:7" x14ac:dyDescent="0.25">
      <c r="A27" t="s">
        <v>30</v>
      </c>
      <c r="B27" t="s">
        <v>31</v>
      </c>
      <c r="C27" t="s">
        <v>17</v>
      </c>
      <c r="D27" t="s">
        <v>547</v>
      </c>
      <c r="E27">
        <v>47</v>
      </c>
      <c r="F27" s="15"/>
      <c r="G27" s="15">
        <f t="shared" si="0"/>
        <v>0</v>
      </c>
    </row>
    <row r="28" spans="1:7" x14ac:dyDescent="0.25">
      <c r="A28" t="s">
        <v>25</v>
      </c>
      <c r="B28" t="s">
        <v>26</v>
      </c>
      <c r="C28" t="s">
        <v>17</v>
      </c>
      <c r="D28" t="s">
        <v>549</v>
      </c>
      <c r="E28">
        <v>11</v>
      </c>
      <c r="F28" s="15"/>
      <c r="G28" s="15">
        <f t="shared" si="0"/>
        <v>0</v>
      </c>
    </row>
    <row r="29" spans="1:7" x14ac:dyDescent="0.25">
      <c r="A29" t="s">
        <v>32</v>
      </c>
      <c r="B29" t="s">
        <v>31</v>
      </c>
      <c r="C29" t="s">
        <v>20</v>
      </c>
      <c r="D29" t="s">
        <v>522</v>
      </c>
      <c r="E29">
        <v>9</v>
      </c>
      <c r="F29" s="15"/>
      <c r="G29" s="15">
        <f t="shared" si="0"/>
        <v>0</v>
      </c>
    </row>
    <row r="30" spans="1:7" x14ac:dyDescent="0.25">
      <c r="A30" t="s">
        <v>32</v>
      </c>
      <c r="B30" t="s">
        <v>31</v>
      </c>
      <c r="C30" t="s">
        <v>20</v>
      </c>
      <c r="D30" t="s">
        <v>526</v>
      </c>
      <c r="E30">
        <v>33</v>
      </c>
      <c r="F30" s="15"/>
      <c r="G30" s="15">
        <f t="shared" si="0"/>
        <v>0</v>
      </c>
    </row>
    <row r="31" spans="1:7" x14ac:dyDescent="0.25">
      <c r="A31" t="s">
        <v>32</v>
      </c>
      <c r="B31" t="s">
        <v>31</v>
      </c>
      <c r="C31" t="s">
        <v>20</v>
      </c>
      <c r="D31" t="s">
        <v>527</v>
      </c>
      <c r="E31">
        <v>145</v>
      </c>
      <c r="F31" s="15"/>
      <c r="G31" s="15">
        <f t="shared" si="0"/>
        <v>0</v>
      </c>
    </row>
    <row r="32" spans="1:7" x14ac:dyDescent="0.25">
      <c r="A32" t="s">
        <v>32</v>
      </c>
      <c r="B32" t="s">
        <v>31</v>
      </c>
      <c r="C32" t="s">
        <v>20</v>
      </c>
      <c r="D32" t="s">
        <v>533</v>
      </c>
      <c r="E32">
        <v>28</v>
      </c>
      <c r="F32" s="15"/>
      <c r="G32" s="15">
        <f t="shared" si="0"/>
        <v>0</v>
      </c>
    </row>
    <row r="33" spans="1:7" x14ac:dyDescent="0.25">
      <c r="A33" t="s">
        <v>34</v>
      </c>
      <c r="B33" t="s">
        <v>31</v>
      </c>
      <c r="C33" t="s">
        <v>24</v>
      </c>
      <c r="D33" t="s">
        <v>534</v>
      </c>
      <c r="E33">
        <v>36</v>
      </c>
      <c r="F33" s="15"/>
      <c r="G33" s="15">
        <f t="shared" si="0"/>
        <v>0</v>
      </c>
    </row>
    <row r="34" spans="1:7" x14ac:dyDescent="0.25">
      <c r="A34" t="s">
        <v>35</v>
      </c>
      <c r="B34" t="s">
        <v>36</v>
      </c>
      <c r="C34" t="s">
        <v>17</v>
      </c>
      <c r="D34" t="s">
        <v>535</v>
      </c>
      <c r="E34">
        <v>30</v>
      </c>
      <c r="F34" s="15"/>
      <c r="G34" s="15">
        <f t="shared" si="0"/>
        <v>0</v>
      </c>
    </row>
    <row r="35" spans="1:7" x14ac:dyDescent="0.25">
      <c r="A35" t="s">
        <v>35</v>
      </c>
      <c r="B35" t="s">
        <v>36</v>
      </c>
      <c r="C35" t="s">
        <v>17</v>
      </c>
      <c r="D35" t="s">
        <v>537</v>
      </c>
      <c r="E35">
        <v>46</v>
      </c>
      <c r="F35" s="15"/>
      <c r="G35" s="15">
        <f t="shared" si="0"/>
        <v>0</v>
      </c>
    </row>
    <row r="36" spans="1:7" x14ac:dyDescent="0.25">
      <c r="A36" t="s">
        <v>35</v>
      </c>
      <c r="B36" t="s">
        <v>36</v>
      </c>
      <c r="C36" t="s">
        <v>17</v>
      </c>
      <c r="D36" t="s">
        <v>541</v>
      </c>
      <c r="E36">
        <v>205</v>
      </c>
      <c r="F36" s="15"/>
      <c r="G36" s="15">
        <f t="shared" si="0"/>
        <v>0</v>
      </c>
    </row>
    <row r="37" spans="1:7" x14ac:dyDescent="0.25">
      <c r="A37" t="s">
        <v>37</v>
      </c>
      <c r="B37" t="s">
        <v>36</v>
      </c>
      <c r="C37" t="s">
        <v>20</v>
      </c>
      <c r="D37" t="s">
        <v>522</v>
      </c>
      <c r="E37">
        <v>15</v>
      </c>
      <c r="F37" s="15"/>
      <c r="G37" s="15">
        <f t="shared" si="0"/>
        <v>0</v>
      </c>
    </row>
    <row r="38" spans="1:7" x14ac:dyDescent="0.25">
      <c r="A38" t="s">
        <v>37</v>
      </c>
      <c r="B38" t="s">
        <v>36</v>
      </c>
      <c r="C38" t="s">
        <v>20</v>
      </c>
      <c r="D38" t="s">
        <v>526</v>
      </c>
      <c r="E38">
        <v>81</v>
      </c>
      <c r="F38" s="15"/>
      <c r="G38" s="15">
        <f t="shared" si="0"/>
        <v>0</v>
      </c>
    </row>
    <row r="39" spans="1:7" x14ac:dyDescent="0.25">
      <c r="A39" t="s">
        <v>37</v>
      </c>
      <c r="B39" t="s">
        <v>36</v>
      </c>
      <c r="C39" t="s">
        <v>20</v>
      </c>
      <c r="D39" t="s">
        <v>527</v>
      </c>
      <c r="E39">
        <v>155</v>
      </c>
      <c r="F39" s="15"/>
      <c r="G39" s="15">
        <f t="shared" si="0"/>
        <v>0</v>
      </c>
    </row>
    <row r="40" spans="1:7" x14ac:dyDescent="0.25">
      <c r="A40" t="s">
        <v>37</v>
      </c>
      <c r="B40" t="s">
        <v>36</v>
      </c>
      <c r="C40" t="s">
        <v>20</v>
      </c>
      <c r="D40" t="s">
        <v>529</v>
      </c>
      <c r="E40">
        <v>9</v>
      </c>
      <c r="F40" s="15"/>
      <c r="G40" s="15">
        <f t="shared" si="0"/>
        <v>0</v>
      </c>
    </row>
    <row r="41" spans="1:7" x14ac:dyDescent="0.25">
      <c r="A41" t="s">
        <v>37</v>
      </c>
      <c r="B41" t="s">
        <v>36</v>
      </c>
      <c r="C41" t="s">
        <v>20</v>
      </c>
      <c r="D41" t="s">
        <v>531</v>
      </c>
      <c r="E41">
        <v>91</v>
      </c>
      <c r="F41" s="15"/>
      <c r="G41" s="15">
        <f t="shared" si="0"/>
        <v>0</v>
      </c>
    </row>
    <row r="42" spans="1:7" x14ac:dyDescent="0.25">
      <c r="A42" t="s">
        <v>37</v>
      </c>
      <c r="B42" t="s">
        <v>36</v>
      </c>
      <c r="C42" t="s">
        <v>20</v>
      </c>
      <c r="D42" t="s">
        <v>534</v>
      </c>
      <c r="E42">
        <v>11</v>
      </c>
      <c r="F42" s="15"/>
      <c r="G42" s="15">
        <f t="shared" si="0"/>
        <v>0</v>
      </c>
    </row>
    <row r="43" spans="1:7" x14ac:dyDescent="0.25">
      <c r="A43" t="s">
        <v>45</v>
      </c>
      <c r="B43" t="s">
        <v>46</v>
      </c>
      <c r="C43" t="s">
        <v>17</v>
      </c>
      <c r="D43" t="s">
        <v>534</v>
      </c>
      <c r="E43">
        <v>3</v>
      </c>
      <c r="F43" s="15"/>
      <c r="G43" s="15">
        <f t="shared" si="0"/>
        <v>0</v>
      </c>
    </row>
    <row r="44" spans="1:7" x14ac:dyDescent="0.25">
      <c r="A44" t="s">
        <v>45</v>
      </c>
      <c r="B44" t="s">
        <v>46</v>
      </c>
      <c r="C44" t="s">
        <v>17</v>
      </c>
      <c r="D44" t="s">
        <v>539</v>
      </c>
      <c r="E44">
        <v>116</v>
      </c>
      <c r="F44" s="15"/>
      <c r="G44" s="15">
        <f t="shared" si="0"/>
        <v>0</v>
      </c>
    </row>
    <row r="45" spans="1:7" x14ac:dyDescent="0.25">
      <c r="A45" t="s">
        <v>45</v>
      </c>
      <c r="B45" t="s">
        <v>46</v>
      </c>
      <c r="C45" t="s">
        <v>17</v>
      </c>
      <c r="D45" t="s">
        <v>540</v>
      </c>
      <c r="E45">
        <v>44</v>
      </c>
      <c r="F45" s="15"/>
      <c r="G45" s="15">
        <f t="shared" si="0"/>
        <v>0</v>
      </c>
    </row>
    <row r="46" spans="1:7" x14ac:dyDescent="0.25">
      <c r="A46" t="s">
        <v>45</v>
      </c>
      <c r="B46" t="s">
        <v>46</v>
      </c>
      <c r="C46" t="s">
        <v>17</v>
      </c>
      <c r="D46" t="s">
        <v>541</v>
      </c>
      <c r="E46">
        <v>246</v>
      </c>
      <c r="F46" s="15"/>
      <c r="G46" s="15">
        <f t="shared" si="0"/>
        <v>0</v>
      </c>
    </row>
    <row r="47" spans="1:7" x14ac:dyDescent="0.25">
      <c r="A47" t="s">
        <v>47</v>
      </c>
      <c r="B47" t="s">
        <v>46</v>
      </c>
      <c r="C47" t="s">
        <v>20</v>
      </c>
      <c r="D47" t="s">
        <v>522</v>
      </c>
      <c r="E47">
        <v>5</v>
      </c>
      <c r="F47" s="15"/>
      <c r="G47" s="15">
        <f t="shared" si="0"/>
        <v>0</v>
      </c>
    </row>
    <row r="48" spans="1:7" x14ac:dyDescent="0.25">
      <c r="A48" t="s">
        <v>47</v>
      </c>
      <c r="B48" t="s">
        <v>46</v>
      </c>
      <c r="C48" t="s">
        <v>20</v>
      </c>
      <c r="D48" t="s">
        <v>526</v>
      </c>
      <c r="E48">
        <v>44</v>
      </c>
      <c r="F48" s="15"/>
      <c r="G48" s="15">
        <f t="shared" si="0"/>
        <v>0</v>
      </c>
    </row>
    <row r="49" spans="1:7" x14ac:dyDescent="0.25">
      <c r="A49" t="s">
        <v>47</v>
      </c>
      <c r="B49" t="s">
        <v>46</v>
      </c>
      <c r="C49" t="s">
        <v>20</v>
      </c>
      <c r="D49" t="s">
        <v>527</v>
      </c>
      <c r="E49">
        <v>32</v>
      </c>
      <c r="F49" s="15"/>
      <c r="G49" s="15">
        <f t="shared" si="0"/>
        <v>0</v>
      </c>
    </row>
    <row r="50" spans="1:7" x14ac:dyDescent="0.25">
      <c r="A50" t="s">
        <v>49</v>
      </c>
      <c r="B50" t="s">
        <v>46</v>
      </c>
      <c r="C50" t="s">
        <v>24</v>
      </c>
      <c r="D50" t="s">
        <v>534</v>
      </c>
      <c r="E50">
        <v>31</v>
      </c>
      <c r="F50" s="15"/>
      <c r="G50" s="15">
        <f t="shared" si="0"/>
        <v>0</v>
      </c>
    </row>
    <row r="51" spans="1:7" x14ac:dyDescent="0.25">
      <c r="A51" t="s">
        <v>50</v>
      </c>
      <c r="B51" t="s">
        <v>51</v>
      </c>
      <c r="C51" t="s">
        <v>17</v>
      </c>
      <c r="D51" t="s">
        <v>538</v>
      </c>
      <c r="E51">
        <v>16</v>
      </c>
      <c r="F51" s="15"/>
      <c r="G51" s="15">
        <f t="shared" si="0"/>
        <v>0</v>
      </c>
    </row>
    <row r="52" spans="1:7" x14ac:dyDescent="0.25">
      <c r="A52" t="s">
        <v>52</v>
      </c>
      <c r="B52" t="s">
        <v>51</v>
      </c>
      <c r="C52" t="s">
        <v>20</v>
      </c>
      <c r="D52" t="s">
        <v>526</v>
      </c>
      <c r="E52">
        <v>170</v>
      </c>
      <c r="F52" s="15"/>
      <c r="G52" s="15">
        <f t="shared" si="0"/>
        <v>0</v>
      </c>
    </row>
    <row r="53" spans="1:7" x14ac:dyDescent="0.25">
      <c r="A53" t="s">
        <v>55</v>
      </c>
      <c r="B53" t="s">
        <v>56</v>
      </c>
      <c r="C53" t="s">
        <v>17</v>
      </c>
      <c r="D53" t="s">
        <v>538</v>
      </c>
      <c r="E53">
        <v>96</v>
      </c>
      <c r="F53" s="15"/>
      <c r="G53" s="15">
        <f t="shared" si="0"/>
        <v>0</v>
      </c>
    </row>
    <row r="54" spans="1:7" x14ac:dyDescent="0.25">
      <c r="A54" t="s">
        <v>55</v>
      </c>
      <c r="B54" t="s">
        <v>56</v>
      </c>
      <c r="C54" t="s">
        <v>17</v>
      </c>
      <c r="D54" t="s">
        <v>541</v>
      </c>
      <c r="E54">
        <v>40</v>
      </c>
      <c r="F54" s="15"/>
      <c r="G54" s="15">
        <f t="shared" si="0"/>
        <v>0</v>
      </c>
    </row>
    <row r="55" spans="1:7" x14ac:dyDescent="0.25">
      <c r="A55" t="s">
        <v>55</v>
      </c>
      <c r="B55" t="s">
        <v>56</v>
      </c>
      <c r="C55" t="s">
        <v>17</v>
      </c>
      <c r="D55" t="s">
        <v>547</v>
      </c>
      <c r="E55">
        <v>71</v>
      </c>
      <c r="F55" s="15"/>
      <c r="G55" s="15">
        <f t="shared" si="0"/>
        <v>0</v>
      </c>
    </row>
    <row r="56" spans="1:7" x14ac:dyDescent="0.25">
      <c r="A56" t="s">
        <v>57</v>
      </c>
      <c r="B56" t="s">
        <v>56</v>
      </c>
      <c r="C56" t="s">
        <v>20</v>
      </c>
      <c r="D56" t="s">
        <v>526</v>
      </c>
      <c r="E56">
        <v>25</v>
      </c>
      <c r="F56" s="15"/>
      <c r="G56" s="15">
        <f t="shared" si="0"/>
        <v>0</v>
      </c>
    </row>
    <row r="57" spans="1:7" x14ac:dyDescent="0.25">
      <c r="A57" t="s">
        <v>60</v>
      </c>
      <c r="B57" t="s">
        <v>61</v>
      </c>
      <c r="C57" t="s">
        <v>17</v>
      </c>
      <c r="D57" t="s">
        <v>547</v>
      </c>
      <c r="E57">
        <v>72</v>
      </c>
      <c r="F57" s="15"/>
      <c r="G57" s="15">
        <f t="shared" si="0"/>
        <v>0</v>
      </c>
    </row>
    <row r="58" spans="1:7" x14ac:dyDescent="0.25">
      <c r="A58" t="s">
        <v>70</v>
      </c>
      <c r="B58" t="s">
        <v>71</v>
      </c>
      <c r="C58" t="s">
        <v>17</v>
      </c>
      <c r="D58" t="s">
        <v>537</v>
      </c>
      <c r="E58">
        <v>30</v>
      </c>
      <c r="F58" s="15"/>
      <c r="G58" s="15">
        <f t="shared" si="0"/>
        <v>0</v>
      </c>
    </row>
    <row r="59" spans="1:7" x14ac:dyDescent="0.25">
      <c r="A59" t="s">
        <v>72</v>
      </c>
      <c r="B59" t="s">
        <v>71</v>
      </c>
      <c r="C59" t="s">
        <v>20</v>
      </c>
      <c r="D59" t="s">
        <v>527</v>
      </c>
      <c r="E59">
        <v>35</v>
      </c>
      <c r="F59" s="15"/>
      <c r="G59" s="15">
        <f t="shared" si="0"/>
        <v>0</v>
      </c>
    </row>
    <row r="60" spans="1:7" x14ac:dyDescent="0.25">
      <c r="A60" t="s">
        <v>75</v>
      </c>
      <c r="B60" t="s">
        <v>76</v>
      </c>
      <c r="C60" t="s">
        <v>17</v>
      </c>
      <c r="D60" t="s">
        <v>522</v>
      </c>
      <c r="E60">
        <v>19</v>
      </c>
      <c r="F60" s="15"/>
      <c r="G60" s="15">
        <f t="shared" si="0"/>
        <v>0</v>
      </c>
    </row>
    <row r="61" spans="1:7" x14ac:dyDescent="0.25">
      <c r="A61" t="s">
        <v>75</v>
      </c>
      <c r="B61" t="s">
        <v>76</v>
      </c>
      <c r="C61" t="s">
        <v>17</v>
      </c>
      <c r="D61" t="s">
        <v>534</v>
      </c>
      <c r="E61">
        <v>19</v>
      </c>
      <c r="F61" s="15"/>
      <c r="G61" s="15">
        <f t="shared" si="0"/>
        <v>0</v>
      </c>
    </row>
    <row r="62" spans="1:7" x14ac:dyDescent="0.25">
      <c r="A62" t="s">
        <v>75</v>
      </c>
      <c r="B62" t="s">
        <v>76</v>
      </c>
      <c r="C62" t="s">
        <v>17</v>
      </c>
      <c r="D62" t="s">
        <v>539</v>
      </c>
      <c r="E62">
        <v>61</v>
      </c>
      <c r="F62" s="15"/>
      <c r="G62" s="15">
        <f t="shared" si="0"/>
        <v>0</v>
      </c>
    </row>
    <row r="63" spans="1:7" x14ac:dyDescent="0.25">
      <c r="A63" t="s">
        <v>75</v>
      </c>
      <c r="B63" t="s">
        <v>76</v>
      </c>
      <c r="C63" t="s">
        <v>17</v>
      </c>
      <c r="D63" t="s">
        <v>547</v>
      </c>
      <c r="E63">
        <v>134</v>
      </c>
      <c r="F63" s="15"/>
      <c r="G63" s="15">
        <f t="shared" si="0"/>
        <v>0</v>
      </c>
    </row>
    <row r="64" spans="1:7" x14ac:dyDescent="0.25">
      <c r="A64" t="s">
        <v>82</v>
      </c>
      <c r="B64" t="s">
        <v>81</v>
      </c>
      <c r="C64" t="s">
        <v>20</v>
      </c>
      <c r="D64" t="s">
        <v>526</v>
      </c>
      <c r="E64">
        <v>98</v>
      </c>
      <c r="F64" s="15"/>
      <c r="G64" s="15">
        <f t="shared" si="0"/>
        <v>0</v>
      </c>
    </row>
    <row r="65" spans="1:7" x14ac:dyDescent="0.25">
      <c r="A65" t="s">
        <v>82</v>
      </c>
      <c r="B65" t="s">
        <v>81</v>
      </c>
      <c r="C65" t="s">
        <v>20</v>
      </c>
      <c r="D65" t="s">
        <v>527</v>
      </c>
      <c r="E65">
        <v>54</v>
      </c>
      <c r="F65" s="15"/>
      <c r="G65" s="15">
        <f t="shared" si="0"/>
        <v>0</v>
      </c>
    </row>
    <row r="66" spans="1:7" x14ac:dyDescent="0.25">
      <c r="A66" t="s">
        <v>87</v>
      </c>
      <c r="B66" t="s">
        <v>86</v>
      </c>
      <c r="C66" t="s">
        <v>20</v>
      </c>
      <c r="D66" t="s">
        <v>522</v>
      </c>
      <c r="E66">
        <v>101</v>
      </c>
      <c r="F66" s="15"/>
      <c r="G66" s="15">
        <f t="shared" si="0"/>
        <v>0</v>
      </c>
    </row>
    <row r="67" spans="1:7" x14ac:dyDescent="0.25">
      <c r="A67" t="s">
        <v>92</v>
      </c>
      <c r="B67" t="s">
        <v>91</v>
      </c>
      <c r="C67" t="s">
        <v>20</v>
      </c>
      <c r="D67" t="s">
        <v>526</v>
      </c>
      <c r="E67">
        <v>48</v>
      </c>
      <c r="F67" s="15"/>
      <c r="G67" s="15">
        <f t="shared" ref="G67:G132" si="1">F67*E67</f>
        <v>0</v>
      </c>
    </row>
    <row r="68" spans="1:7" x14ac:dyDescent="0.25">
      <c r="A68" t="s">
        <v>95</v>
      </c>
      <c r="B68" t="s">
        <v>96</v>
      </c>
      <c r="C68" t="s">
        <v>17</v>
      </c>
      <c r="D68" t="s">
        <v>535</v>
      </c>
      <c r="E68">
        <v>2</v>
      </c>
      <c r="F68" s="15"/>
      <c r="G68" s="15">
        <f t="shared" si="1"/>
        <v>0</v>
      </c>
    </row>
    <row r="69" spans="1:7" x14ac:dyDescent="0.25">
      <c r="A69" t="s">
        <v>95</v>
      </c>
      <c r="B69" t="s">
        <v>96</v>
      </c>
      <c r="C69" t="s">
        <v>17</v>
      </c>
      <c r="D69" t="s">
        <v>539</v>
      </c>
      <c r="E69">
        <v>38</v>
      </c>
      <c r="F69" s="15"/>
      <c r="G69" s="15">
        <f t="shared" si="1"/>
        <v>0</v>
      </c>
    </row>
    <row r="70" spans="1:7" x14ac:dyDescent="0.25">
      <c r="A70" t="s">
        <v>100</v>
      </c>
      <c r="B70" t="s">
        <v>101</v>
      </c>
      <c r="C70" t="s">
        <v>17</v>
      </c>
      <c r="D70" t="s">
        <v>535</v>
      </c>
      <c r="E70">
        <v>8</v>
      </c>
      <c r="F70" s="15"/>
      <c r="G70" s="15">
        <f t="shared" si="1"/>
        <v>0</v>
      </c>
    </row>
    <row r="71" spans="1:7" x14ac:dyDescent="0.25">
      <c r="A71" t="s">
        <v>100</v>
      </c>
      <c r="B71" t="s">
        <v>101</v>
      </c>
      <c r="C71" t="s">
        <v>17</v>
      </c>
      <c r="D71" t="s">
        <v>537</v>
      </c>
      <c r="E71">
        <v>26</v>
      </c>
      <c r="F71" s="15"/>
      <c r="G71" s="15">
        <f t="shared" si="1"/>
        <v>0</v>
      </c>
    </row>
    <row r="72" spans="1:7" x14ac:dyDescent="0.25">
      <c r="A72" t="s">
        <v>100</v>
      </c>
      <c r="B72" t="s">
        <v>101</v>
      </c>
      <c r="C72" t="s">
        <v>17</v>
      </c>
      <c r="D72" t="s">
        <v>547</v>
      </c>
      <c r="E72">
        <v>46</v>
      </c>
      <c r="F72" s="15"/>
      <c r="G72" s="15">
        <f t="shared" si="1"/>
        <v>0</v>
      </c>
    </row>
    <row r="73" spans="1:7" x14ac:dyDescent="0.25">
      <c r="A73" t="s">
        <v>110</v>
      </c>
      <c r="B73" t="s">
        <v>111</v>
      </c>
      <c r="C73" t="s">
        <v>17</v>
      </c>
      <c r="D73" t="s">
        <v>540</v>
      </c>
      <c r="E73">
        <v>168</v>
      </c>
      <c r="F73" s="15"/>
      <c r="G73" s="15">
        <f t="shared" si="1"/>
        <v>0</v>
      </c>
    </row>
    <row r="74" spans="1:7" x14ac:dyDescent="0.25">
      <c r="A74" t="s">
        <v>115</v>
      </c>
      <c r="B74" t="s">
        <v>116</v>
      </c>
      <c r="C74" t="s">
        <v>17</v>
      </c>
      <c r="D74" t="s">
        <v>537</v>
      </c>
      <c r="E74">
        <v>49</v>
      </c>
      <c r="F74" s="15"/>
      <c r="G74" s="15">
        <f t="shared" si="1"/>
        <v>0</v>
      </c>
    </row>
    <row r="75" spans="1:7" x14ac:dyDescent="0.25">
      <c r="A75" t="s">
        <v>115</v>
      </c>
      <c r="B75" t="s">
        <v>116</v>
      </c>
      <c r="C75" t="s">
        <v>17</v>
      </c>
      <c r="D75" t="s">
        <v>538</v>
      </c>
      <c r="E75">
        <v>312</v>
      </c>
      <c r="F75" s="15"/>
      <c r="G75" s="15">
        <f t="shared" si="1"/>
        <v>0</v>
      </c>
    </row>
    <row r="76" spans="1:7" x14ac:dyDescent="0.25">
      <c r="A76" t="s">
        <v>115</v>
      </c>
      <c r="B76" t="s">
        <v>116</v>
      </c>
      <c r="C76" t="s">
        <v>17</v>
      </c>
      <c r="D76" t="s">
        <v>539</v>
      </c>
      <c r="E76">
        <v>29</v>
      </c>
      <c r="F76" s="15"/>
      <c r="G76" s="15">
        <f t="shared" si="1"/>
        <v>0</v>
      </c>
    </row>
    <row r="77" spans="1:7" x14ac:dyDescent="0.25">
      <c r="A77" t="s">
        <v>115</v>
      </c>
      <c r="B77" t="s">
        <v>116</v>
      </c>
      <c r="C77" t="s">
        <v>17</v>
      </c>
      <c r="D77" t="s">
        <v>547</v>
      </c>
      <c r="E77">
        <v>64</v>
      </c>
      <c r="F77" s="15"/>
      <c r="G77" s="15">
        <f t="shared" si="1"/>
        <v>0</v>
      </c>
    </row>
    <row r="78" spans="1:7" x14ac:dyDescent="0.25">
      <c r="A78" t="s">
        <v>117</v>
      </c>
      <c r="B78" t="s">
        <v>116</v>
      </c>
      <c r="C78" t="s">
        <v>20</v>
      </c>
      <c r="D78" t="s">
        <v>543</v>
      </c>
      <c r="E78">
        <v>5</v>
      </c>
      <c r="F78" s="15"/>
      <c r="G78" s="15">
        <f t="shared" si="1"/>
        <v>0</v>
      </c>
    </row>
    <row r="79" spans="1:7" x14ac:dyDescent="0.25">
      <c r="A79" t="s">
        <v>120</v>
      </c>
      <c r="B79" t="s">
        <v>121</v>
      </c>
      <c r="C79" t="s">
        <v>17</v>
      </c>
      <c r="D79" t="s">
        <v>535</v>
      </c>
      <c r="E79">
        <v>64</v>
      </c>
      <c r="F79" s="15"/>
      <c r="G79" s="15">
        <f t="shared" si="1"/>
        <v>0</v>
      </c>
    </row>
    <row r="80" spans="1:7" x14ac:dyDescent="0.25">
      <c r="A80" t="s">
        <v>120</v>
      </c>
      <c r="B80" t="s">
        <v>121</v>
      </c>
      <c r="C80" t="s">
        <v>17</v>
      </c>
      <c r="D80" t="s">
        <v>539</v>
      </c>
      <c r="E80">
        <v>1</v>
      </c>
      <c r="F80" s="15"/>
      <c r="G80" s="15">
        <f t="shared" si="1"/>
        <v>0</v>
      </c>
    </row>
    <row r="81" spans="1:7" x14ac:dyDescent="0.25">
      <c r="A81" t="s">
        <v>125</v>
      </c>
      <c r="B81" t="s">
        <v>126</v>
      </c>
      <c r="C81" t="s">
        <v>17</v>
      </c>
      <c r="D81" t="s">
        <v>539</v>
      </c>
      <c r="E81">
        <v>5</v>
      </c>
      <c r="F81" s="15"/>
      <c r="G81" s="15">
        <f t="shared" si="1"/>
        <v>0</v>
      </c>
    </row>
    <row r="82" spans="1:7" x14ac:dyDescent="0.25">
      <c r="A82" t="s">
        <v>135</v>
      </c>
      <c r="B82" t="s">
        <v>136</v>
      </c>
      <c r="C82" t="s">
        <v>17</v>
      </c>
      <c r="D82" t="s">
        <v>537</v>
      </c>
      <c r="E82">
        <v>7</v>
      </c>
      <c r="F82" s="15"/>
      <c r="G82" s="15">
        <f t="shared" si="1"/>
        <v>0</v>
      </c>
    </row>
    <row r="83" spans="1:7" x14ac:dyDescent="0.25">
      <c r="A83" t="s">
        <v>137</v>
      </c>
      <c r="B83" t="s">
        <v>136</v>
      </c>
      <c r="C83" t="s">
        <v>20</v>
      </c>
      <c r="D83" t="s">
        <v>534</v>
      </c>
      <c r="E83">
        <v>8</v>
      </c>
      <c r="F83" s="15"/>
      <c r="G83" s="15">
        <f t="shared" si="1"/>
        <v>0</v>
      </c>
    </row>
    <row r="84" spans="1:7" x14ac:dyDescent="0.25">
      <c r="A84" t="s">
        <v>106</v>
      </c>
      <c r="B84" t="s">
        <v>106</v>
      </c>
      <c r="C84" t="s">
        <v>22</v>
      </c>
      <c r="D84" t="s">
        <v>529</v>
      </c>
      <c r="E84">
        <v>130</v>
      </c>
      <c r="F84" s="15"/>
      <c r="G84" s="15">
        <f t="shared" si="1"/>
        <v>0</v>
      </c>
    </row>
    <row r="85" spans="1:7" x14ac:dyDescent="0.25">
      <c r="A85" t="s">
        <v>165</v>
      </c>
      <c r="B85" t="s">
        <v>166</v>
      </c>
      <c r="C85" t="s">
        <v>17</v>
      </c>
      <c r="D85" t="s">
        <v>533</v>
      </c>
      <c r="E85">
        <v>44</v>
      </c>
      <c r="F85" s="15"/>
      <c r="G85" s="15">
        <f t="shared" si="1"/>
        <v>0</v>
      </c>
    </row>
    <row r="86" spans="1:7" x14ac:dyDescent="0.25">
      <c r="A86" t="s">
        <v>165</v>
      </c>
      <c r="B86" t="s">
        <v>166</v>
      </c>
      <c r="C86" t="s">
        <v>17</v>
      </c>
      <c r="D86" t="s">
        <v>535</v>
      </c>
      <c r="E86">
        <v>50</v>
      </c>
      <c r="F86" s="15"/>
      <c r="G86" s="15">
        <f t="shared" si="1"/>
        <v>0</v>
      </c>
    </row>
    <row r="87" spans="1:7" x14ac:dyDescent="0.25">
      <c r="A87" t="s">
        <v>165</v>
      </c>
      <c r="B87" t="s">
        <v>166</v>
      </c>
      <c r="C87" t="s">
        <v>17</v>
      </c>
      <c r="D87" t="s">
        <v>537</v>
      </c>
      <c r="E87">
        <v>60</v>
      </c>
      <c r="F87" s="15"/>
      <c r="G87" s="15">
        <f t="shared" si="1"/>
        <v>0</v>
      </c>
    </row>
    <row r="88" spans="1:7" x14ac:dyDescent="0.25">
      <c r="A88" t="s">
        <v>165</v>
      </c>
      <c r="B88" t="s">
        <v>166</v>
      </c>
      <c r="C88" t="s">
        <v>17</v>
      </c>
      <c r="D88" t="s">
        <v>538</v>
      </c>
      <c r="E88">
        <v>442</v>
      </c>
      <c r="F88" s="15"/>
      <c r="G88" s="15">
        <f t="shared" si="1"/>
        <v>0</v>
      </c>
    </row>
    <row r="89" spans="1:7" x14ac:dyDescent="0.25">
      <c r="A89" t="s">
        <v>165</v>
      </c>
      <c r="B89" t="s">
        <v>166</v>
      </c>
      <c r="C89" t="s">
        <v>17</v>
      </c>
      <c r="D89" t="s">
        <v>547</v>
      </c>
      <c r="E89">
        <v>60</v>
      </c>
      <c r="F89" s="15"/>
      <c r="G89" s="15">
        <f t="shared" si="1"/>
        <v>0</v>
      </c>
    </row>
    <row r="90" spans="1:7" x14ac:dyDescent="0.25">
      <c r="A90" t="s">
        <v>167</v>
      </c>
      <c r="B90" t="s">
        <v>166</v>
      </c>
      <c r="C90" t="s">
        <v>20</v>
      </c>
      <c r="D90" t="s">
        <v>526</v>
      </c>
      <c r="E90">
        <v>18</v>
      </c>
      <c r="F90" s="15"/>
      <c r="G90" s="15">
        <f t="shared" si="1"/>
        <v>0</v>
      </c>
    </row>
    <row r="91" spans="1:7" x14ac:dyDescent="0.25">
      <c r="A91" t="s">
        <v>167</v>
      </c>
      <c r="B91" t="s">
        <v>166</v>
      </c>
      <c r="C91" t="s">
        <v>20</v>
      </c>
      <c r="D91" t="s">
        <v>527</v>
      </c>
      <c r="E91">
        <v>71</v>
      </c>
      <c r="F91" s="15"/>
      <c r="G91" s="15">
        <f t="shared" si="1"/>
        <v>0</v>
      </c>
    </row>
    <row r="92" spans="1:7" x14ac:dyDescent="0.25">
      <c r="A92" t="s">
        <v>167</v>
      </c>
      <c r="B92" t="s">
        <v>166</v>
      </c>
      <c r="C92" t="s">
        <v>20</v>
      </c>
      <c r="D92" t="s">
        <v>529</v>
      </c>
      <c r="E92">
        <v>13</v>
      </c>
      <c r="F92" s="15"/>
      <c r="G92" s="15">
        <f t="shared" si="1"/>
        <v>0</v>
      </c>
    </row>
    <row r="93" spans="1:7" x14ac:dyDescent="0.25">
      <c r="A93" t="s">
        <v>173</v>
      </c>
      <c r="B93" t="s">
        <v>171</v>
      </c>
      <c r="C93" t="s">
        <v>22</v>
      </c>
      <c r="D93" t="s">
        <v>545</v>
      </c>
      <c r="E93">
        <v>1200</v>
      </c>
      <c r="F93" s="15"/>
      <c r="G93" s="15">
        <f t="shared" si="1"/>
        <v>0</v>
      </c>
    </row>
    <row r="94" spans="1:7" x14ac:dyDescent="0.25">
      <c r="A94" t="s">
        <v>190</v>
      </c>
      <c r="B94" t="s">
        <v>191</v>
      </c>
      <c r="C94" t="s">
        <v>17</v>
      </c>
      <c r="D94" t="s">
        <v>535</v>
      </c>
      <c r="E94">
        <v>322</v>
      </c>
      <c r="F94" s="15"/>
      <c r="G94" s="15">
        <f t="shared" si="1"/>
        <v>0</v>
      </c>
    </row>
    <row r="95" spans="1:7" x14ac:dyDescent="0.25">
      <c r="A95" t="s">
        <v>220</v>
      </c>
      <c r="B95" t="s">
        <v>221</v>
      </c>
      <c r="C95" t="s">
        <v>17</v>
      </c>
      <c r="D95" t="s">
        <v>537</v>
      </c>
      <c r="E95">
        <v>73</v>
      </c>
      <c r="F95" s="15"/>
      <c r="G95" s="15">
        <f t="shared" si="1"/>
        <v>0</v>
      </c>
    </row>
    <row r="96" spans="1:7" x14ac:dyDescent="0.25">
      <c r="A96" t="s">
        <v>230</v>
      </c>
      <c r="B96" t="s">
        <v>231</v>
      </c>
      <c r="C96" t="s">
        <v>17</v>
      </c>
      <c r="D96" t="s">
        <v>534</v>
      </c>
      <c r="E96">
        <v>60</v>
      </c>
      <c r="F96" s="15"/>
      <c r="G96" s="15">
        <f t="shared" si="1"/>
        <v>0</v>
      </c>
    </row>
    <row r="97" spans="1:7" x14ac:dyDescent="0.25">
      <c r="A97" t="s">
        <v>230</v>
      </c>
      <c r="B97" t="s">
        <v>231</v>
      </c>
      <c r="C97" t="s">
        <v>17</v>
      </c>
      <c r="D97" t="s">
        <v>535</v>
      </c>
      <c r="E97">
        <v>52</v>
      </c>
      <c r="F97" s="15"/>
      <c r="G97" s="15">
        <f t="shared" si="1"/>
        <v>0</v>
      </c>
    </row>
    <row r="98" spans="1:7" x14ac:dyDescent="0.25">
      <c r="A98" t="s">
        <v>230</v>
      </c>
      <c r="B98" t="s">
        <v>231</v>
      </c>
      <c r="C98" t="s">
        <v>17</v>
      </c>
      <c r="D98" t="s">
        <v>537</v>
      </c>
      <c r="E98">
        <v>58</v>
      </c>
      <c r="F98" s="15"/>
      <c r="G98" s="15">
        <f t="shared" si="1"/>
        <v>0</v>
      </c>
    </row>
    <row r="99" spans="1:7" x14ac:dyDescent="0.25">
      <c r="A99" t="s">
        <v>230</v>
      </c>
      <c r="B99" t="s">
        <v>231</v>
      </c>
      <c r="C99" t="s">
        <v>17</v>
      </c>
      <c r="D99" t="s">
        <v>535</v>
      </c>
      <c r="E99">
        <v>60</v>
      </c>
      <c r="F99" s="15"/>
      <c r="G99" s="15">
        <f t="shared" si="1"/>
        <v>0</v>
      </c>
    </row>
    <row r="100" spans="1:7" x14ac:dyDescent="0.25">
      <c r="A100" t="s">
        <v>232</v>
      </c>
      <c r="B100" t="s">
        <v>231</v>
      </c>
      <c r="C100" t="s">
        <v>20</v>
      </c>
      <c r="D100" t="s">
        <v>541</v>
      </c>
      <c r="E100">
        <v>75</v>
      </c>
      <c r="F100" s="15"/>
      <c r="G100" s="15">
        <f t="shared" si="1"/>
        <v>0</v>
      </c>
    </row>
    <row r="101" spans="1:7" x14ac:dyDescent="0.25">
      <c r="A101" t="s">
        <v>245</v>
      </c>
      <c r="B101" t="s">
        <v>246</v>
      </c>
      <c r="C101" t="s">
        <v>17</v>
      </c>
      <c r="D101" t="s">
        <v>539</v>
      </c>
      <c r="E101">
        <v>38</v>
      </c>
      <c r="F101" s="15"/>
      <c r="G101" s="15">
        <f t="shared" si="1"/>
        <v>0</v>
      </c>
    </row>
    <row r="102" spans="1:7" x14ac:dyDescent="0.25">
      <c r="A102" t="s">
        <v>255</v>
      </c>
      <c r="B102" t="s">
        <v>256</v>
      </c>
      <c r="C102" t="s">
        <v>17</v>
      </c>
      <c r="D102" t="s">
        <v>526</v>
      </c>
      <c r="E102">
        <v>79</v>
      </c>
      <c r="F102" s="15"/>
      <c r="G102" s="15">
        <f t="shared" si="1"/>
        <v>0</v>
      </c>
    </row>
    <row r="103" spans="1:7" x14ac:dyDescent="0.25">
      <c r="A103" t="s">
        <v>255</v>
      </c>
      <c r="B103" t="s">
        <v>256</v>
      </c>
      <c r="C103" t="s">
        <v>17</v>
      </c>
      <c r="D103" t="s">
        <v>527</v>
      </c>
      <c r="E103">
        <v>26</v>
      </c>
      <c r="F103" s="15"/>
      <c r="G103" s="15">
        <f t="shared" si="1"/>
        <v>0</v>
      </c>
    </row>
    <row r="104" spans="1:7" x14ac:dyDescent="0.25">
      <c r="A104" t="s">
        <v>255</v>
      </c>
      <c r="B104" t="s">
        <v>256</v>
      </c>
      <c r="C104" t="s">
        <v>17</v>
      </c>
      <c r="D104" t="s">
        <v>529</v>
      </c>
      <c r="E104">
        <v>84</v>
      </c>
      <c r="F104" s="15"/>
      <c r="G104" s="15">
        <f t="shared" si="1"/>
        <v>0</v>
      </c>
    </row>
    <row r="105" spans="1:7" x14ac:dyDescent="0.25">
      <c r="A105" t="s">
        <v>255</v>
      </c>
      <c r="B105" t="s">
        <v>256</v>
      </c>
      <c r="C105" t="s">
        <v>17</v>
      </c>
      <c r="D105" t="s">
        <v>533</v>
      </c>
      <c r="E105">
        <v>97</v>
      </c>
      <c r="F105" s="15"/>
      <c r="G105" s="15">
        <f t="shared" si="1"/>
        <v>0</v>
      </c>
    </row>
    <row r="106" spans="1:7" x14ac:dyDescent="0.25">
      <c r="A106" t="s">
        <v>255</v>
      </c>
      <c r="B106" t="s">
        <v>256</v>
      </c>
      <c r="C106" t="s">
        <v>17</v>
      </c>
      <c r="D106" t="s">
        <v>534</v>
      </c>
      <c r="E106">
        <v>36</v>
      </c>
      <c r="F106" s="15"/>
      <c r="G106" s="15">
        <f t="shared" si="1"/>
        <v>0</v>
      </c>
    </row>
    <row r="107" spans="1:7" x14ac:dyDescent="0.25">
      <c r="A107" t="s">
        <v>255</v>
      </c>
      <c r="B107" t="s">
        <v>256</v>
      </c>
      <c r="C107" t="s">
        <v>17</v>
      </c>
      <c r="D107" t="s">
        <v>538</v>
      </c>
      <c r="E107">
        <v>47</v>
      </c>
      <c r="F107" s="15"/>
      <c r="G107" s="15">
        <f t="shared" si="1"/>
        <v>0</v>
      </c>
    </row>
    <row r="108" spans="1:7" ht="15.75" thickBot="1" x14ac:dyDescent="0.3">
      <c r="A108" s="16" t="s">
        <v>255</v>
      </c>
      <c r="B108" s="16" t="s">
        <v>256</v>
      </c>
      <c r="C108" s="16" t="s">
        <v>17</v>
      </c>
      <c r="D108" s="16" t="s">
        <v>543</v>
      </c>
      <c r="E108" s="16">
        <v>84</v>
      </c>
      <c r="F108" s="17"/>
      <c r="G108" s="17">
        <f t="shared" si="1"/>
        <v>0</v>
      </c>
    </row>
    <row r="109" spans="1:7" x14ac:dyDescent="0.25">
      <c r="A109" t="s">
        <v>260</v>
      </c>
      <c r="B109" t="s">
        <v>261</v>
      </c>
      <c r="C109" t="s">
        <v>17</v>
      </c>
      <c r="D109" t="s">
        <v>533</v>
      </c>
      <c r="E109">
        <v>68</v>
      </c>
      <c r="F109" s="15"/>
      <c r="G109" s="15">
        <f t="shared" si="1"/>
        <v>0</v>
      </c>
    </row>
    <row r="110" spans="1:7" x14ac:dyDescent="0.25">
      <c r="A110" t="s">
        <v>260</v>
      </c>
      <c r="B110" t="s">
        <v>261</v>
      </c>
      <c r="C110" t="s">
        <v>17</v>
      </c>
      <c r="D110" t="s">
        <v>534</v>
      </c>
      <c r="E110">
        <v>72</v>
      </c>
      <c r="F110" s="15"/>
      <c r="G110" s="15">
        <f t="shared" si="1"/>
        <v>0</v>
      </c>
    </row>
    <row r="111" spans="1:7" x14ac:dyDescent="0.25">
      <c r="A111" t="s">
        <v>260</v>
      </c>
      <c r="B111" t="s">
        <v>261</v>
      </c>
      <c r="C111" t="s">
        <v>17</v>
      </c>
      <c r="D111" t="s">
        <v>535</v>
      </c>
      <c r="E111">
        <v>146</v>
      </c>
      <c r="F111" s="15"/>
      <c r="G111" s="15">
        <f t="shared" si="1"/>
        <v>0</v>
      </c>
    </row>
    <row r="112" spans="1:7" x14ac:dyDescent="0.25">
      <c r="A112" t="s">
        <v>260</v>
      </c>
      <c r="B112" t="s">
        <v>261</v>
      </c>
      <c r="C112" t="s">
        <v>17</v>
      </c>
      <c r="D112" t="s">
        <v>543</v>
      </c>
      <c r="E112">
        <v>17</v>
      </c>
      <c r="F112" s="15"/>
      <c r="G112" s="15">
        <f t="shared" si="1"/>
        <v>0</v>
      </c>
    </row>
    <row r="113" spans="1:7" x14ac:dyDescent="0.25">
      <c r="A113" t="s">
        <v>260</v>
      </c>
      <c r="B113" t="s">
        <v>261</v>
      </c>
      <c r="C113" t="s">
        <v>17</v>
      </c>
      <c r="D113" t="s">
        <v>545</v>
      </c>
      <c r="E113">
        <v>638</v>
      </c>
      <c r="F113" s="15"/>
      <c r="G113" s="15">
        <f t="shared" si="1"/>
        <v>0</v>
      </c>
    </row>
    <row r="114" spans="1:7" x14ac:dyDescent="0.25">
      <c r="A114" t="s">
        <v>260</v>
      </c>
      <c r="B114" t="s">
        <v>261</v>
      </c>
      <c r="C114" t="s">
        <v>17</v>
      </c>
      <c r="D114" t="s">
        <v>547</v>
      </c>
      <c r="E114">
        <v>48</v>
      </c>
      <c r="F114" s="15"/>
      <c r="G114" s="15">
        <f t="shared" si="1"/>
        <v>0</v>
      </c>
    </row>
    <row r="115" spans="1:7" x14ac:dyDescent="0.25">
      <c r="A115" t="s">
        <v>263</v>
      </c>
      <c r="B115" t="s">
        <v>261</v>
      </c>
      <c r="C115" t="s">
        <v>20</v>
      </c>
      <c r="D115" t="s">
        <v>526</v>
      </c>
      <c r="E115">
        <v>13</v>
      </c>
      <c r="F115" s="15"/>
      <c r="G115" s="15">
        <f t="shared" si="1"/>
        <v>0</v>
      </c>
    </row>
    <row r="116" spans="1:7" x14ac:dyDescent="0.25">
      <c r="A116" t="s">
        <v>266</v>
      </c>
      <c r="B116" t="s">
        <v>267</v>
      </c>
      <c r="C116" t="s">
        <v>17</v>
      </c>
      <c r="D116" t="s">
        <v>522</v>
      </c>
      <c r="E116">
        <v>6</v>
      </c>
      <c r="F116" s="18"/>
      <c r="G116" s="15">
        <f t="shared" si="1"/>
        <v>0</v>
      </c>
    </row>
    <row r="117" spans="1:7" x14ac:dyDescent="0.25">
      <c r="A117" t="s">
        <v>291</v>
      </c>
      <c r="B117" t="s">
        <v>292</v>
      </c>
      <c r="C117" t="s">
        <v>17</v>
      </c>
      <c r="D117" t="s">
        <v>522</v>
      </c>
      <c r="E117">
        <v>72</v>
      </c>
      <c r="F117" s="18"/>
      <c r="G117" s="15">
        <f t="shared" si="1"/>
        <v>0</v>
      </c>
    </row>
    <row r="118" spans="1:7" x14ac:dyDescent="0.25">
      <c r="A118" t="s">
        <v>268</v>
      </c>
      <c r="B118" t="s">
        <v>267</v>
      </c>
      <c r="C118" t="s">
        <v>20</v>
      </c>
      <c r="D118" t="s">
        <v>533</v>
      </c>
      <c r="E118">
        <v>224</v>
      </c>
      <c r="F118" s="18"/>
      <c r="G118" s="15">
        <f t="shared" si="1"/>
        <v>0</v>
      </c>
    </row>
    <row r="119" spans="1:7" x14ac:dyDescent="0.25">
      <c r="A119" t="s">
        <v>268</v>
      </c>
      <c r="B119" t="s">
        <v>267</v>
      </c>
      <c r="C119" t="s">
        <v>20</v>
      </c>
      <c r="D119" t="s">
        <v>534</v>
      </c>
      <c r="E119">
        <v>214</v>
      </c>
      <c r="F119" s="18"/>
      <c r="G119" s="15">
        <f t="shared" si="1"/>
        <v>0</v>
      </c>
    </row>
    <row r="120" spans="1:7" x14ac:dyDescent="0.25">
      <c r="A120" t="s">
        <v>266</v>
      </c>
      <c r="B120" t="s">
        <v>267</v>
      </c>
      <c r="C120" t="s">
        <v>17</v>
      </c>
      <c r="D120" t="s">
        <v>537</v>
      </c>
      <c r="E120">
        <v>7</v>
      </c>
      <c r="F120" s="18"/>
      <c r="G120" s="15">
        <f t="shared" si="1"/>
        <v>0</v>
      </c>
    </row>
    <row r="121" spans="1:7" x14ac:dyDescent="0.25">
      <c r="A121" t="s">
        <v>266</v>
      </c>
      <c r="B121" t="s">
        <v>267</v>
      </c>
      <c r="C121" t="s">
        <v>17</v>
      </c>
      <c r="D121" t="s">
        <v>542</v>
      </c>
      <c r="E121">
        <v>50</v>
      </c>
      <c r="F121" s="18"/>
      <c r="G121" s="15">
        <f t="shared" si="1"/>
        <v>0</v>
      </c>
    </row>
    <row r="122" spans="1:7" x14ac:dyDescent="0.25">
      <c r="A122" t="s">
        <v>266</v>
      </c>
      <c r="B122" t="s">
        <v>267</v>
      </c>
      <c r="C122" t="s">
        <v>17</v>
      </c>
      <c r="D122" t="s">
        <v>543</v>
      </c>
      <c r="E122">
        <v>14</v>
      </c>
      <c r="F122" s="18"/>
      <c r="G122" s="15">
        <f t="shared" si="1"/>
        <v>0</v>
      </c>
    </row>
    <row r="123" spans="1:7" x14ac:dyDescent="0.25">
      <c r="A123" t="s">
        <v>266</v>
      </c>
      <c r="B123" t="s">
        <v>267</v>
      </c>
      <c r="C123" t="s">
        <v>17</v>
      </c>
      <c r="D123" t="s">
        <v>545</v>
      </c>
      <c r="E123">
        <v>527</v>
      </c>
      <c r="F123" s="18"/>
      <c r="G123" s="15">
        <f t="shared" si="1"/>
        <v>0</v>
      </c>
    </row>
    <row r="124" spans="1:7" x14ac:dyDescent="0.25">
      <c r="A124" t="s">
        <v>266</v>
      </c>
      <c r="B124" t="s">
        <v>267</v>
      </c>
      <c r="C124" t="s">
        <v>17</v>
      </c>
      <c r="D124" t="s">
        <v>547</v>
      </c>
      <c r="E124">
        <v>50</v>
      </c>
      <c r="F124" s="18"/>
      <c r="G124" s="15">
        <f t="shared" si="1"/>
        <v>0</v>
      </c>
    </row>
    <row r="125" spans="1:7" x14ac:dyDescent="0.25">
      <c r="A125" t="s">
        <v>268</v>
      </c>
      <c r="B125" t="s">
        <v>267</v>
      </c>
      <c r="C125" t="s">
        <v>20</v>
      </c>
      <c r="D125" t="s">
        <v>526</v>
      </c>
      <c r="E125">
        <v>11</v>
      </c>
      <c r="F125" s="15"/>
      <c r="G125" s="15">
        <f t="shared" si="1"/>
        <v>0</v>
      </c>
    </row>
    <row r="126" spans="1:7" x14ac:dyDescent="0.25">
      <c r="A126" t="s">
        <v>268</v>
      </c>
      <c r="B126" t="s">
        <v>267</v>
      </c>
      <c r="C126" t="s">
        <v>20</v>
      </c>
      <c r="D126" t="s">
        <v>527</v>
      </c>
      <c r="E126">
        <v>48</v>
      </c>
      <c r="F126" s="15"/>
      <c r="G126" s="15">
        <f t="shared" si="1"/>
        <v>0</v>
      </c>
    </row>
    <row r="127" spans="1:7" x14ac:dyDescent="0.25">
      <c r="A127" t="s">
        <v>268</v>
      </c>
      <c r="B127" t="s">
        <v>267</v>
      </c>
      <c r="C127" t="s">
        <v>20</v>
      </c>
      <c r="D127" t="s">
        <v>529</v>
      </c>
      <c r="E127">
        <v>62</v>
      </c>
      <c r="F127" s="15"/>
      <c r="G127" s="15">
        <f t="shared" si="1"/>
        <v>0</v>
      </c>
    </row>
    <row r="128" spans="1:7" x14ac:dyDescent="0.25">
      <c r="A128" t="s">
        <v>271</v>
      </c>
      <c r="B128" t="s">
        <v>272</v>
      </c>
      <c r="C128" t="s">
        <v>17</v>
      </c>
      <c r="D128" t="s">
        <v>534</v>
      </c>
      <c r="E128">
        <v>11</v>
      </c>
      <c r="F128" s="15"/>
      <c r="G128" s="15">
        <f t="shared" si="1"/>
        <v>0</v>
      </c>
    </row>
    <row r="129" spans="1:7" x14ac:dyDescent="0.25">
      <c r="A129" t="s">
        <v>271</v>
      </c>
      <c r="B129" t="s">
        <v>272</v>
      </c>
      <c r="C129" t="s">
        <v>17</v>
      </c>
      <c r="D129" t="s">
        <v>545</v>
      </c>
      <c r="E129">
        <v>236</v>
      </c>
      <c r="F129" s="15"/>
      <c r="G129" s="15">
        <f t="shared" si="1"/>
        <v>0</v>
      </c>
    </row>
    <row r="130" spans="1:7" x14ac:dyDescent="0.25">
      <c r="A130" t="s">
        <v>271</v>
      </c>
      <c r="B130" t="s">
        <v>272</v>
      </c>
      <c r="C130" t="s">
        <v>17</v>
      </c>
      <c r="D130" t="s">
        <v>547</v>
      </c>
      <c r="E130">
        <v>98</v>
      </c>
      <c r="F130" s="15"/>
      <c r="G130" s="15">
        <f t="shared" si="1"/>
        <v>0</v>
      </c>
    </row>
    <row r="131" spans="1:7" x14ac:dyDescent="0.25">
      <c r="A131" t="s">
        <v>273</v>
      </c>
      <c r="B131" t="s">
        <v>272</v>
      </c>
      <c r="C131" t="s">
        <v>20</v>
      </c>
      <c r="D131" t="s">
        <v>522</v>
      </c>
      <c r="E131">
        <v>33</v>
      </c>
      <c r="F131" s="15"/>
      <c r="G131" s="15">
        <f t="shared" si="1"/>
        <v>0</v>
      </c>
    </row>
    <row r="132" spans="1:7" x14ac:dyDescent="0.25">
      <c r="A132" t="s">
        <v>273</v>
      </c>
      <c r="B132" t="s">
        <v>272</v>
      </c>
      <c r="C132" t="s">
        <v>20</v>
      </c>
      <c r="D132" t="s">
        <v>527</v>
      </c>
      <c r="E132">
        <v>12</v>
      </c>
      <c r="F132" s="15"/>
      <c r="G132" s="15">
        <f t="shared" si="1"/>
        <v>0</v>
      </c>
    </row>
    <row r="133" spans="1:7" x14ac:dyDescent="0.25">
      <c r="A133" t="s">
        <v>281</v>
      </c>
      <c r="B133" t="s">
        <v>282</v>
      </c>
      <c r="C133" t="s">
        <v>17</v>
      </c>
      <c r="D133" t="s">
        <v>529</v>
      </c>
      <c r="E133">
        <v>43</v>
      </c>
      <c r="F133" s="15"/>
      <c r="G133" s="15">
        <f t="shared" ref="G133:G196" si="2">F133*E133</f>
        <v>0</v>
      </c>
    </row>
    <row r="134" spans="1:7" x14ac:dyDescent="0.25">
      <c r="A134" t="s">
        <v>281</v>
      </c>
      <c r="B134" t="s">
        <v>282</v>
      </c>
      <c r="C134" t="s">
        <v>17</v>
      </c>
      <c r="D134" t="s">
        <v>535</v>
      </c>
      <c r="E134">
        <v>24</v>
      </c>
      <c r="F134" s="15"/>
      <c r="G134" s="15">
        <f t="shared" si="2"/>
        <v>0</v>
      </c>
    </row>
    <row r="135" spans="1:7" x14ac:dyDescent="0.25">
      <c r="A135" t="s">
        <v>281</v>
      </c>
      <c r="B135" t="s">
        <v>282</v>
      </c>
      <c r="C135" t="s">
        <v>17</v>
      </c>
      <c r="D135" t="s">
        <v>547</v>
      </c>
      <c r="E135">
        <v>79</v>
      </c>
      <c r="F135" s="15"/>
      <c r="G135" s="15">
        <f t="shared" si="2"/>
        <v>0</v>
      </c>
    </row>
    <row r="136" spans="1:7" x14ac:dyDescent="0.25">
      <c r="A136" t="s">
        <v>281</v>
      </c>
      <c r="B136" t="s">
        <v>282</v>
      </c>
      <c r="C136" t="s">
        <v>813</v>
      </c>
      <c r="D136" t="s">
        <v>545</v>
      </c>
      <c r="E136">
        <v>140</v>
      </c>
      <c r="F136" s="15"/>
      <c r="G136" s="15">
        <f t="shared" si="2"/>
        <v>0</v>
      </c>
    </row>
    <row r="137" spans="1:7" x14ac:dyDescent="0.25">
      <c r="A137" t="s">
        <v>281</v>
      </c>
      <c r="B137" t="s">
        <v>282</v>
      </c>
      <c r="C137" t="s">
        <v>813</v>
      </c>
      <c r="D137" t="s">
        <v>547</v>
      </c>
      <c r="E137">
        <v>16</v>
      </c>
      <c r="F137" s="15"/>
      <c r="G137" s="15">
        <f t="shared" si="2"/>
        <v>0</v>
      </c>
    </row>
    <row r="138" spans="1:7" x14ac:dyDescent="0.25">
      <c r="A138" t="s">
        <v>286</v>
      </c>
      <c r="B138" t="s">
        <v>287</v>
      </c>
      <c r="C138" t="s">
        <v>17</v>
      </c>
      <c r="D138" t="s">
        <v>522</v>
      </c>
      <c r="E138">
        <v>12</v>
      </c>
      <c r="F138" s="15"/>
      <c r="G138" s="15">
        <f t="shared" si="2"/>
        <v>0</v>
      </c>
    </row>
    <row r="139" spans="1:7" x14ac:dyDescent="0.25">
      <c r="A139" t="s">
        <v>286</v>
      </c>
      <c r="B139" t="s">
        <v>287</v>
      </c>
      <c r="C139" t="s">
        <v>17</v>
      </c>
      <c r="D139" t="s">
        <v>529</v>
      </c>
      <c r="E139">
        <v>25</v>
      </c>
      <c r="F139" s="15"/>
      <c r="G139" s="15">
        <f t="shared" si="2"/>
        <v>0</v>
      </c>
    </row>
    <row r="140" spans="1:7" x14ac:dyDescent="0.25">
      <c r="A140" t="s">
        <v>286</v>
      </c>
      <c r="B140" t="s">
        <v>287</v>
      </c>
      <c r="C140" t="s">
        <v>17</v>
      </c>
      <c r="D140" t="s">
        <v>541</v>
      </c>
      <c r="E140">
        <v>628</v>
      </c>
      <c r="F140" s="15"/>
      <c r="G140" s="15">
        <f t="shared" si="2"/>
        <v>0</v>
      </c>
    </row>
    <row r="141" spans="1:7" x14ac:dyDescent="0.25">
      <c r="A141" t="s">
        <v>286</v>
      </c>
      <c r="B141" t="s">
        <v>287</v>
      </c>
      <c r="C141" t="s">
        <v>17</v>
      </c>
      <c r="D141" t="s">
        <v>543</v>
      </c>
      <c r="E141">
        <v>17</v>
      </c>
      <c r="F141" s="15"/>
      <c r="G141" s="15">
        <f t="shared" si="2"/>
        <v>0</v>
      </c>
    </row>
    <row r="142" spans="1:7" x14ac:dyDescent="0.25">
      <c r="A142" t="s">
        <v>286</v>
      </c>
      <c r="B142" t="s">
        <v>287</v>
      </c>
      <c r="C142" t="s">
        <v>17</v>
      </c>
      <c r="D142" t="s">
        <v>547</v>
      </c>
      <c r="E142">
        <v>50</v>
      </c>
      <c r="F142" s="15"/>
      <c r="G142" s="15">
        <f t="shared" si="2"/>
        <v>0</v>
      </c>
    </row>
    <row r="143" spans="1:7" x14ac:dyDescent="0.25">
      <c r="A143" t="s">
        <v>331</v>
      </c>
      <c r="B143" t="s">
        <v>332</v>
      </c>
      <c r="C143" t="s">
        <v>813</v>
      </c>
      <c r="D143" t="s">
        <v>535</v>
      </c>
      <c r="E143">
        <v>80</v>
      </c>
      <c r="F143" s="15"/>
      <c r="G143" s="15">
        <f t="shared" si="2"/>
        <v>0</v>
      </c>
    </row>
    <row r="144" spans="1:7" x14ac:dyDescent="0.25">
      <c r="A144" t="s">
        <v>291</v>
      </c>
      <c r="B144" t="s">
        <v>292</v>
      </c>
      <c r="C144" t="s">
        <v>17</v>
      </c>
      <c r="D144" t="s">
        <v>533</v>
      </c>
      <c r="E144">
        <v>32</v>
      </c>
      <c r="F144" s="15"/>
      <c r="G144" s="15">
        <f t="shared" si="2"/>
        <v>0</v>
      </c>
    </row>
    <row r="145" spans="1:7" x14ac:dyDescent="0.25">
      <c r="A145" t="s">
        <v>291</v>
      </c>
      <c r="B145" t="s">
        <v>292</v>
      </c>
      <c r="C145" t="s">
        <v>17</v>
      </c>
      <c r="D145" t="s">
        <v>534</v>
      </c>
      <c r="E145">
        <v>59</v>
      </c>
      <c r="F145" s="15"/>
      <c r="G145" s="15">
        <f t="shared" si="2"/>
        <v>0</v>
      </c>
    </row>
    <row r="146" spans="1:7" x14ac:dyDescent="0.25">
      <c r="A146" t="s">
        <v>291</v>
      </c>
      <c r="B146" t="s">
        <v>292</v>
      </c>
      <c r="C146" t="s">
        <v>17</v>
      </c>
      <c r="D146" t="s">
        <v>538</v>
      </c>
      <c r="E146">
        <v>105</v>
      </c>
      <c r="F146" s="15"/>
      <c r="G146" s="15">
        <f t="shared" si="2"/>
        <v>0</v>
      </c>
    </row>
    <row r="147" spans="1:7" x14ac:dyDescent="0.25">
      <c r="A147" t="s">
        <v>291</v>
      </c>
      <c r="B147" t="s">
        <v>292</v>
      </c>
      <c r="C147" t="s">
        <v>17</v>
      </c>
      <c r="D147" t="s">
        <v>547</v>
      </c>
      <c r="E147">
        <v>86</v>
      </c>
      <c r="F147" s="15"/>
      <c r="G147" s="15">
        <f t="shared" si="2"/>
        <v>0</v>
      </c>
    </row>
    <row r="148" spans="1:7" x14ac:dyDescent="0.25">
      <c r="A148" t="s">
        <v>298</v>
      </c>
      <c r="B148" t="s">
        <v>297</v>
      </c>
      <c r="C148" t="s">
        <v>20</v>
      </c>
      <c r="D148" t="s">
        <v>530</v>
      </c>
      <c r="E148">
        <v>50</v>
      </c>
      <c r="F148" s="15"/>
      <c r="G148" s="15">
        <f t="shared" si="2"/>
        <v>0</v>
      </c>
    </row>
    <row r="149" spans="1:7" x14ac:dyDescent="0.25">
      <c r="A149" t="s">
        <v>301</v>
      </c>
      <c r="B149" t="s">
        <v>302</v>
      </c>
      <c r="C149" t="s">
        <v>17</v>
      </c>
      <c r="D149" t="s">
        <v>522</v>
      </c>
      <c r="E149">
        <v>46</v>
      </c>
      <c r="F149" s="15"/>
      <c r="G149" s="15">
        <f t="shared" si="2"/>
        <v>0</v>
      </c>
    </row>
    <row r="150" spans="1:7" x14ac:dyDescent="0.25">
      <c r="A150" t="s">
        <v>301</v>
      </c>
      <c r="B150" t="s">
        <v>302</v>
      </c>
      <c r="C150" t="s">
        <v>17</v>
      </c>
      <c r="D150" t="s">
        <v>529</v>
      </c>
      <c r="E150">
        <v>15</v>
      </c>
      <c r="F150" s="15"/>
      <c r="G150" s="15">
        <f t="shared" si="2"/>
        <v>0</v>
      </c>
    </row>
    <row r="151" spans="1:7" x14ac:dyDescent="0.25">
      <c r="A151" t="s">
        <v>301</v>
      </c>
      <c r="B151" t="s">
        <v>302</v>
      </c>
      <c r="C151" t="s">
        <v>17</v>
      </c>
      <c r="D151" t="s">
        <v>540</v>
      </c>
      <c r="E151">
        <v>83</v>
      </c>
      <c r="F151" s="15"/>
      <c r="G151" s="15">
        <f t="shared" si="2"/>
        <v>0</v>
      </c>
    </row>
    <row r="152" spans="1:7" x14ac:dyDescent="0.25">
      <c r="A152" t="s">
        <v>301</v>
      </c>
      <c r="B152" t="s">
        <v>302</v>
      </c>
      <c r="C152" t="s">
        <v>17</v>
      </c>
      <c r="D152" t="s">
        <v>547</v>
      </c>
      <c r="E152">
        <v>53</v>
      </c>
      <c r="F152" s="15"/>
      <c r="G152" s="15">
        <f t="shared" si="2"/>
        <v>0</v>
      </c>
    </row>
    <row r="153" spans="1:7" x14ac:dyDescent="0.25">
      <c r="A153" t="s">
        <v>306</v>
      </c>
      <c r="B153" t="s">
        <v>307</v>
      </c>
      <c r="C153" t="s">
        <v>17</v>
      </c>
      <c r="D153" t="s">
        <v>539</v>
      </c>
      <c r="E153">
        <v>30</v>
      </c>
      <c r="F153" s="15"/>
      <c r="G153" s="15">
        <f t="shared" si="2"/>
        <v>0</v>
      </c>
    </row>
    <row r="154" spans="1:7" x14ac:dyDescent="0.25">
      <c r="A154" t="s">
        <v>306</v>
      </c>
      <c r="B154" t="s">
        <v>307</v>
      </c>
      <c r="C154" t="s">
        <v>17</v>
      </c>
      <c r="D154" t="s">
        <v>542</v>
      </c>
      <c r="E154">
        <v>32</v>
      </c>
      <c r="F154" s="15"/>
      <c r="G154" s="15">
        <f t="shared" si="2"/>
        <v>0</v>
      </c>
    </row>
    <row r="155" spans="1:7" x14ac:dyDescent="0.25">
      <c r="A155" t="s">
        <v>311</v>
      </c>
      <c r="B155" t="s">
        <v>312</v>
      </c>
      <c r="C155" t="s">
        <v>17</v>
      </c>
      <c r="D155" t="s">
        <v>542</v>
      </c>
      <c r="E155">
        <v>26</v>
      </c>
      <c r="F155" s="15"/>
      <c r="G155" s="15">
        <f t="shared" si="2"/>
        <v>0</v>
      </c>
    </row>
    <row r="156" spans="1:7" x14ac:dyDescent="0.25">
      <c r="A156" t="s">
        <v>313</v>
      </c>
      <c r="B156" t="s">
        <v>312</v>
      </c>
      <c r="C156" t="s">
        <v>20</v>
      </c>
      <c r="D156" t="s">
        <v>526</v>
      </c>
      <c r="E156">
        <v>13</v>
      </c>
      <c r="F156" s="15"/>
      <c r="G156" s="15">
        <f t="shared" si="2"/>
        <v>0</v>
      </c>
    </row>
    <row r="157" spans="1:7" x14ac:dyDescent="0.25">
      <c r="A157" t="s">
        <v>313</v>
      </c>
      <c r="B157" t="s">
        <v>312</v>
      </c>
      <c r="C157" t="s">
        <v>20</v>
      </c>
      <c r="D157" t="s">
        <v>533</v>
      </c>
      <c r="E157">
        <v>41</v>
      </c>
      <c r="F157" s="15"/>
      <c r="G157" s="15">
        <f t="shared" si="2"/>
        <v>0</v>
      </c>
    </row>
    <row r="158" spans="1:7" x14ac:dyDescent="0.25">
      <c r="A158" t="s">
        <v>316</v>
      </c>
      <c r="B158" t="s">
        <v>317</v>
      </c>
      <c r="C158" t="s">
        <v>17</v>
      </c>
      <c r="D158" t="s">
        <v>540</v>
      </c>
      <c r="E158">
        <v>120</v>
      </c>
      <c r="F158" s="15"/>
      <c r="G158" s="15">
        <f t="shared" si="2"/>
        <v>0</v>
      </c>
    </row>
    <row r="159" spans="1:7" x14ac:dyDescent="0.25">
      <c r="A159" t="s">
        <v>321</v>
      </c>
      <c r="B159" t="s">
        <v>322</v>
      </c>
      <c r="C159" t="s">
        <v>17</v>
      </c>
      <c r="D159" t="s">
        <v>542</v>
      </c>
      <c r="E159">
        <v>108</v>
      </c>
      <c r="F159" s="15"/>
      <c r="G159" s="15">
        <f t="shared" si="2"/>
        <v>0</v>
      </c>
    </row>
    <row r="160" spans="1:7" x14ac:dyDescent="0.25">
      <c r="A160" t="s">
        <v>323</v>
      </c>
      <c r="B160" t="s">
        <v>322</v>
      </c>
      <c r="C160" t="s">
        <v>20</v>
      </c>
      <c r="D160" t="s">
        <v>529</v>
      </c>
      <c r="E160">
        <v>38</v>
      </c>
      <c r="F160" s="15"/>
      <c r="G160" s="15">
        <f t="shared" si="2"/>
        <v>0</v>
      </c>
    </row>
    <row r="161" spans="1:7" x14ac:dyDescent="0.25">
      <c r="A161" t="s">
        <v>326</v>
      </c>
      <c r="B161" t="s">
        <v>327</v>
      </c>
      <c r="C161" t="s">
        <v>17</v>
      </c>
      <c r="D161" t="s">
        <v>540</v>
      </c>
      <c r="E161">
        <v>132</v>
      </c>
      <c r="F161" s="15"/>
      <c r="G161" s="15">
        <f t="shared" si="2"/>
        <v>0</v>
      </c>
    </row>
    <row r="162" spans="1:7" x14ac:dyDescent="0.25">
      <c r="A162" t="s">
        <v>328</v>
      </c>
      <c r="B162" t="s">
        <v>327</v>
      </c>
      <c r="C162" t="s">
        <v>20</v>
      </c>
      <c r="D162" t="s">
        <v>533</v>
      </c>
      <c r="E162">
        <v>67</v>
      </c>
      <c r="F162" s="15"/>
      <c r="G162" s="15">
        <f t="shared" si="2"/>
        <v>0</v>
      </c>
    </row>
    <row r="163" spans="1:7" x14ac:dyDescent="0.25">
      <c r="A163" t="s">
        <v>331</v>
      </c>
      <c r="B163" t="s">
        <v>332</v>
      </c>
      <c r="C163" t="s">
        <v>813</v>
      </c>
      <c r="D163" t="s">
        <v>547</v>
      </c>
      <c r="E163">
        <v>84</v>
      </c>
      <c r="F163" s="15"/>
      <c r="G163" s="15">
        <f t="shared" si="2"/>
        <v>0</v>
      </c>
    </row>
    <row r="164" spans="1:7" x14ac:dyDescent="0.25">
      <c r="A164" t="s">
        <v>331</v>
      </c>
      <c r="B164" t="s">
        <v>332</v>
      </c>
      <c r="C164" t="s">
        <v>17</v>
      </c>
      <c r="D164" t="s">
        <v>535</v>
      </c>
      <c r="E164">
        <v>105</v>
      </c>
      <c r="F164" s="15"/>
      <c r="G164" s="15">
        <f t="shared" si="2"/>
        <v>0</v>
      </c>
    </row>
    <row r="165" spans="1:7" x14ac:dyDescent="0.25">
      <c r="A165" t="s">
        <v>331</v>
      </c>
      <c r="B165" t="s">
        <v>332</v>
      </c>
      <c r="C165" t="s">
        <v>17</v>
      </c>
      <c r="D165" t="s">
        <v>540</v>
      </c>
      <c r="E165">
        <v>112</v>
      </c>
      <c r="F165" s="15"/>
      <c r="G165" s="15">
        <f t="shared" si="2"/>
        <v>0</v>
      </c>
    </row>
    <row r="166" spans="1:7" x14ac:dyDescent="0.25">
      <c r="A166" t="s">
        <v>331</v>
      </c>
      <c r="B166" t="s">
        <v>332</v>
      </c>
      <c r="C166" t="s">
        <v>17</v>
      </c>
      <c r="D166" t="s">
        <v>542</v>
      </c>
      <c r="E166">
        <v>98</v>
      </c>
      <c r="F166" s="15"/>
      <c r="G166" s="15">
        <f t="shared" si="2"/>
        <v>0</v>
      </c>
    </row>
    <row r="167" spans="1:7" x14ac:dyDescent="0.25">
      <c r="A167" t="s">
        <v>336</v>
      </c>
      <c r="B167" t="s">
        <v>337</v>
      </c>
      <c r="C167" t="s">
        <v>17</v>
      </c>
      <c r="D167" t="s">
        <v>540</v>
      </c>
      <c r="E167">
        <v>9</v>
      </c>
      <c r="F167" s="15"/>
      <c r="G167" s="15">
        <f t="shared" si="2"/>
        <v>0</v>
      </c>
    </row>
    <row r="168" spans="1:7" x14ac:dyDescent="0.25">
      <c r="A168" t="s">
        <v>341</v>
      </c>
      <c r="B168" t="s">
        <v>342</v>
      </c>
      <c r="C168" t="s">
        <v>17</v>
      </c>
      <c r="D168" t="s">
        <v>533</v>
      </c>
      <c r="E168">
        <v>30</v>
      </c>
      <c r="F168" s="15"/>
      <c r="G168" s="15">
        <f t="shared" si="2"/>
        <v>0</v>
      </c>
    </row>
    <row r="169" spans="1:7" x14ac:dyDescent="0.25">
      <c r="A169" t="s">
        <v>341</v>
      </c>
      <c r="B169" t="s">
        <v>342</v>
      </c>
      <c r="C169" t="s">
        <v>17</v>
      </c>
      <c r="D169" t="s">
        <v>534</v>
      </c>
      <c r="E169">
        <v>7</v>
      </c>
      <c r="F169" s="15"/>
      <c r="G169" s="15">
        <f t="shared" si="2"/>
        <v>0</v>
      </c>
    </row>
    <row r="170" spans="1:7" x14ac:dyDescent="0.25">
      <c r="A170" t="s">
        <v>341</v>
      </c>
      <c r="B170" t="s">
        <v>342</v>
      </c>
      <c r="C170" t="s">
        <v>17</v>
      </c>
      <c r="D170" t="s">
        <v>537</v>
      </c>
      <c r="E170">
        <v>12</v>
      </c>
      <c r="F170" s="15"/>
      <c r="G170" s="15">
        <f t="shared" si="2"/>
        <v>0</v>
      </c>
    </row>
    <row r="171" spans="1:7" x14ac:dyDescent="0.25">
      <c r="A171" t="s">
        <v>341</v>
      </c>
      <c r="B171" t="s">
        <v>342</v>
      </c>
      <c r="C171" t="s">
        <v>17</v>
      </c>
      <c r="D171" t="s">
        <v>540</v>
      </c>
      <c r="E171">
        <v>70</v>
      </c>
      <c r="F171" s="15"/>
      <c r="G171" s="15">
        <f t="shared" si="2"/>
        <v>0</v>
      </c>
    </row>
    <row r="172" spans="1:7" x14ac:dyDescent="0.25">
      <c r="A172" t="s">
        <v>346</v>
      </c>
      <c r="B172" t="s">
        <v>347</v>
      </c>
      <c r="C172" t="s">
        <v>17</v>
      </c>
      <c r="D172" t="s">
        <v>534</v>
      </c>
      <c r="E172">
        <v>2</v>
      </c>
      <c r="F172" s="15"/>
      <c r="G172" s="15">
        <f t="shared" si="2"/>
        <v>0</v>
      </c>
    </row>
    <row r="173" spans="1:7" x14ac:dyDescent="0.25">
      <c r="A173" t="s">
        <v>346</v>
      </c>
      <c r="B173" t="s">
        <v>347</v>
      </c>
      <c r="C173" t="s">
        <v>17</v>
      </c>
      <c r="D173" t="s">
        <v>541</v>
      </c>
      <c r="E173">
        <v>39</v>
      </c>
      <c r="F173" s="15"/>
      <c r="G173" s="15">
        <f t="shared" si="2"/>
        <v>0</v>
      </c>
    </row>
    <row r="174" spans="1:7" x14ac:dyDescent="0.25">
      <c r="A174" t="s">
        <v>346</v>
      </c>
      <c r="B174" t="s">
        <v>347</v>
      </c>
      <c r="C174" t="s">
        <v>17</v>
      </c>
      <c r="D174" t="s">
        <v>543</v>
      </c>
      <c r="E174">
        <v>8</v>
      </c>
      <c r="F174" s="15"/>
      <c r="G174" s="15">
        <f t="shared" si="2"/>
        <v>0</v>
      </c>
    </row>
    <row r="175" spans="1:7" x14ac:dyDescent="0.25">
      <c r="A175" t="s">
        <v>351</v>
      </c>
      <c r="B175" t="s">
        <v>352</v>
      </c>
      <c r="C175" t="s">
        <v>17</v>
      </c>
      <c r="D175" t="s">
        <v>539</v>
      </c>
      <c r="E175">
        <v>60</v>
      </c>
      <c r="F175" s="15"/>
      <c r="G175" s="15">
        <f t="shared" si="2"/>
        <v>0</v>
      </c>
    </row>
    <row r="176" spans="1:7" x14ac:dyDescent="0.25">
      <c r="A176" t="s">
        <v>363</v>
      </c>
      <c r="B176" t="s">
        <v>362</v>
      </c>
      <c r="C176" t="s">
        <v>20</v>
      </c>
      <c r="D176" t="s">
        <v>522</v>
      </c>
      <c r="E176">
        <v>51</v>
      </c>
      <c r="F176" s="15"/>
      <c r="G176" s="15">
        <f t="shared" si="2"/>
        <v>0</v>
      </c>
    </row>
    <row r="177" spans="1:7" x14ac:dyDescent="0.25">
      <c r="A177" t="s">
        <v>363</v>
      </c>
      <c r="B177" t="s">
        <v>362</v>
      </c>
      <c r="C177" t="s">
        <v>20</v>
      </c>
      <c r="D177" t="s">
        <v>547</v>
      </c>
      <c r="E177">
        <v>19</v>
      </c>
      <c r="F177" s="15"/>
      <c r="G177" s="15">
        <f t="shared" si="2"/>
        <v>0</v>
      </c>
    </row>
    <row r="178" spans="1:7" x14ac:dyDescent="0.25">
      <c r="A178" t="s">
        <v>371</v>
      </c>
      <c r="B178" t="s">
        <v>372</v>
      </c>
      <c r="C178" t="s">
        <v>17</v>
      </c>
      <c r="D178" t="s">
        <v>529</v>
      </c>
      <c r="E178">
        <v>112</v>
      </c>
      <c r="F178" s="15"/>
      <c r="G178" s="15">
        <f t="shared" si="2"/>
        <v>0</v>
      </c>
    </row>
    <row r="179" spans="1:7" x14ac:dyDescent="0.25">
      <c r="A179" t="s">
        <v>371</v>
      </c>
      <c r="B179" t="s">
        <v>372</v>
      </c>
      <c r="C179" t="s">
        <v>17</v>
      </c>
      <c r="D179" t="s">
        <v>534</v>
      </c>
      <c r="E179">
        <v>38</v>
      </c>
      <c r="F179" s="15"/>
      <c r="G179" s="15">
        <f t="shared" si="2"/>
        <v>0</v>
      </c>
    </row>
    <row r="180" spans="1:7" ht="15.75" thickBot="1" x14ac:dyDescent="0.3">
      <c r="A180" s="16" t="s">
        <v>381</v>
      </c>
      <c r="B180" s="16" t="s">
        <v>382</v>
      </c>
      <c r="C180" s="16" t="s">
        <v>17</v>
      </c>
      <c r="D180" s="16" t="s">
        <v>542</v>
      </c>
      <c r="E180" s="16">
        <v>128</v>
      </c>
      <c r="F180" s="17"/>
      <c r="G180" s="17">
        <f t="shared" si="2"/>
        <v>0</v>
      </c>
    </row>
    <row r="181" spans="1:7" x14ac:dyDescent="0.25">
      <c r="A181" t="s">
        <v>388</v>
      </c>
      <c r="B181" t="s">
        <v>388</v>
      </c>
      <c r="C181" t="s">
        <v>894</v>
      </c>
      <c r="D181" t="s">
        <v>525</v>
      </c>
      <c r="E181">
        <v>1114</v>
      </c>
      <c r="F181" s="15">
        <v>21.91</v>
      </c>
      <c r="G181" s="15">
        <f t="shared" si="2"/>
        <v>24407.74</v>
      </c>
    </row>
    <row r="182" spans="1:7" x14ac:dyDescent="0.25">
      <c r="A182" t="s">
        <v>388</v>
      </c>
      <c r="B182" t="s">
        <v>388</v>
      </c>
      <c r="C182" t="s">
        <v>894</v>
      </c>
      <c r="D182" t="s">
        <v>543</v>
      </c>
      <c r="E182">
        <v>11</v>
      </c>
      <c r="F182" s="15">
        <v>21.91</v>
      </c>
      <c r="G182" s="15">
        <f t="shared" si="2"/>
        <v>241.01</v>
      </c>
    </row>
    <row r="183" spans="1:7" x14ac:dyDescent="0.25">
      <c r="A183" t="s">
        <v>405</v>
      </c>
      <c r="B183" t="s">
        <v>405</v>
      </c>
      <c r="C183" t="s">
        <v>906</v>
      </c>
      <c r="D183" t="s">
        <v>528</v>
      </c>
      <c r="E183">
        <v>46</v>
      </c>
      <c r="F183" s="15"/>
      <c r="G183" s="15">
        <f t="shared" si="2"/>
        <v>0</v>
      </c>
    </row>
    <row r="184" spans="1:7" x14ac:dyDescent="0.25">
      <c r="A184" t="s">
        <v>391</v>
      </c>
      <c r="B184" t="s">
        <v>391</v>
      </c>
      <c r="C184" t="s">
        <v>813</v>
      </c>
      <c r="D184" t="s">
        <v>535</v>
      </c>
      <c r="E184">
        <v>44</v>
      </c>
      <c r="F184" s="15"/>
      <c r="G184" s="15">
        <f t="shared" si="2"/>
        <v>0</v>
      </c>
    </row>
    <row r="185" spans="1:7" x14ac:dyDescent="0.25">
      <c r="A185" t="s">
        <v>391</v>
      </c>
      <c r="B185" t="s">
        <v>391</v>
      </c>
      <c r="C185" t="s">
        <v>813</v>
      </c>
      <c r="D185" t="s">
        <v>539</v>
      </c>
      <c r="E185">
        <v>268</v>
      </c>
      <c r="F185" s="15"/>
      <c r="G185" s="15">
        <f t="shared" si="2"/>
        <v>0</v>
      </c>
    </row>
    <row r="186" spans="1:7" x14ac:dyDescent="0.25">
      <c r="A186" t="s">
        <v>391</v>
      </c>
      <c r="B186" t="s">
        <v>391</v>
      </c>
      <c r="C186" t="s">
        <v>813</v>
      </c>
      <c r="D186" t="s">
        <v>545</v>
      </c>
      <c r="E186">
        <v>18</v>
      </c>
      <c r="F186" s="15"/>
      <c r="G186" s="15">
        <f t="shared" si="2"/>
        <v>0</v>
      </c>
    </row>
    <row r="187" spans="1:7" x14ac:dyDescent="0.25">
      <c r="A187" t="s">
        <v>392</v>
      </c>
      <c r="B187" t="s">
        <v>392</v>
      </c>
      <c r="C187" t="s">
        <v>831</v>
      </c>
      <c r="D187" t="s">
        <v>528</v>
      </c>
      <c r="E187">
        <v>146</v>
      </c>
      <c r="F187" s="15"/>
      <c r="G187" s="15">
        <f t="shared" si="2"/>
        <v>0</v>
      </c>
    </row>
    <row r="188" spans="1:7" x14ac:dyDescent="0.25">
      <c r="A188" t="s">
        <v>395</v>
      </c>
      <c r="B188" t="s">
        <v>395</v>
      </c>
      <c r="C188" t="s">
        <v>861</v>
      </c>
      <c r="D188" t="s">
        <v>535</v>
      </c>
      <c r="E188">
        <v>26</v>
      </c>
      <c r="F188" s="15"/>
      <c r="G188" s="15">
        <f t="shared" si="2"/>
        <v>0</v>
      </c>
    </row>
    <row r="189" spans="1:7" x14ac:dyDescent="0.25">
      <c r="A189" t="s">
        <v>398</v>
      </c>
      <c r="B189" t="s">
        <v>398</v>
      </c>
      <c r="C189" t="s">
        <v>899</v>
      </c>
      <c r="D189" t="s">
        <v>533</v>
      </c>
      <c r="E189">
        <v>27</v>
      </c>
      <c r="F189" s="15"/>
      <c r="G189" s="15">
        <f t="shared" si="2"/>
        <v>0</v>
      </c>
    </row>
    <row r="190" spans="1:7" x14ac:dyDescent="0.25">
      <c r="A190" t="s">
        <v>401</v>
      </c>
      <c r="B190" t="s">
        <v>401</v>
      </c>
      <c r="C190" t="s">
        <v>813</v>
      </c>
      <c r="D190" t="s">
        <v>522</v>
      </c>
      <c r="E190">
        <v>91</v>
      </c>
      <c r="F190" s="15"/>
      <c r="G190" s="15">
        <f t="shared" si="2"/>
        <v>0</v>
      </c>
    </row>
    <row r="191" spans="1:7" x14ac:dyDescent="0.25">
      <c r="A191" t="s">
        <v>403</v>
      </c>
      <c r="B191" t="s">
        <v>403</v>
      </c>
      <c r="C191" t="s">
        <v>905</v>
      </c>
      <c r="D191" t="s">
        <v>549</v>
      </c>
      <c r="E191">
        <v>145</v>
      </c>
      <c r="F191" s="15"/>
      <c r="G191" s="15">
        <f t="shared" si="2"/>
        <v>0</v>
      </c>
    </row>
    <row r="192" spans="1:7" x14ac:dyDescent="0.25">
      <c r="A192" t="s">
        <v>405</v>
      </c>
      <c r="B192" t="s">
        <v>405</v>
      </c>
      <c r="C192" t="s">
        <v>906</v>
      </c>
      <c r="D192" t="s">
        <v>545</v>
      </c>
      <c r="E192">
        <v>250</v>
      </c>
      <c r="F192" s="15"/>
      <c r="G192" s="15">
        <f t="shared" si="2"/>
        <v>0</v>
      </c>
    </row>
    <row r="193" spans="1:7" x14ac:dyDescent="0.25">
      <c r="A193" t="s">
        <v>406</v>
      </c>
      <c r="B193" t="s">
        <v>406</v>
      </c>
      <c r="C193" t="s">
        <v>907</v>
      </c>
      <c r="D193" t="s">
        <v>549</v>
      </c>
      <c r="E193">
        <v>176</v>
      </c>
      <c r="F193" s="15"/>
      <c r="G193" s="15">
        <f t="shared" si="2"/>
        <v>0</v>
      </c>
    </row>
    <row r="194" spans="1:7" x14ac:dyDescent="0.25">
      <c r="A194" t="s">
        <v>407</v>
      </c>
      <c r="B194" t="s">
        <v>407</v>
      </c>
      <c r="C194" t="s">
        <v>904</v>
      </c>
      <c r="D194" t="s">
        <v>533</v>
      </c>
      <c r="E194">
        <v>17</v>
      </c>
      <c r="F194" s="15"/>
      <c r="G194" s="15">
        <f t="shared" si="2"/>
        <v>0</v>
      </c>
    </row>
    <row r="195" spans="1:7" x14ac:dyDescent="0.25">
      <c r="A195" t="s">
        <v>407</v>
      </c>
      <c r="B195" t="s">
        <v>407</v>
      </c>
      <c r="C195" t="s">
        <v>904</v>
      </c>
      <c r="D195" t="s">
        <v>549</v>
      </c>
      <c r="E195">
        <v>66</v>
      </c>
      <c r="F195" s="15"/>
      <c r="G195" s="15">
        <f t="shared" si="2"/>
        <v>0</v>
      </c>
    </row>
    <row r="196" spans="1:7" x14ac:dyDescent="0.25">
      <c r="A196" t="s">
        <v>396</v>
      </c>
      <c r="B196" t="s">
        <v>396</v>
      </c>
      <c r="C196" t="s">
        <v>813</v>
      </c>
      <c r="D196" t="s">
        <v>537</v>
      </c>
      <c r="E196">
        <v>85</v>
      </c>
      <c r="F196" s="15"/>
      <c r="G196" s="15">
        <f t="shared" si="2"/>
        <v>0</v>
      </c>
    </row>
    <row r="197" spans="1:7" x14ac:dyDescent="0.25">
      <c r="A197" t="s">
        <v>409</v>
      </c>
      <c r="B197" t="s">
        <v>409</v>
      </c>
      <c r="C197" t="s">
        <v>908</v>
      </c>
      <c r="D197" t="s">
        <v>543</v>
      </c>
      <c r="E197">
        <v>78</v>
      </c>
      <c r="F197" s="15"/>
      <c r="G197" s="15">
        <f t="shared" ref="G197:G218" si="3">F197*E197</f>
        <v>0</v>
      </c>
    </row>
    <row r="198" spans="1:7" ht="15.75" thickBot="1" x14ac:dyDescent="0.3">
      <c r="A198" s="16" t="s">
        <v>409</v>
      </c>
      <c r="B198" s="16" t="s">
        <v>409</v>
      </c>
      <c r="C198" s="16" t="s">
        <v>908</v>
      </c>
      <c r="D198" s="16" t="s">
        <v>549</v>
      </c>
      <c r="E198" s="16">
        <v>142</v>
      </c>
      <c r="F198" s="17"/>
      <c r="G198" s="17">
        <f t="shared" si="3"/>
        <v>0</v>
      </c>
    </row>
    <row r="199" spans="1:7" x14ac:dyDescent="0.25">
      <c r="A199" t="s">
        <v>411</v>
      </c>
      <c r="B199" t="s">
        <v>411</v>
      </c>
      <c r="C199" t="s">
        <v>894</v>
      </c>
      <c r="D199" t="s">
        <v>534</v>
      </c>
      <c r="E199">
        <v>128</v>
      </c>
      <c r="F199" s="15">
        <v>31.02</v>
      </c>
      <c r="G199" s="15">
        <f t="shared" si="3"/>
        <v>3970.56</v>
      </c>
    </row>
    <row r="200" spans="1:7" x14ac:dyDescent="0.25">
      <c r="A200" t="s">
        <v>415</v>
      </c>
      <c r="B200" t="s">
        <v>415</v>
      </c>
      <c r="C200" t="s">
        <v>894</v>
      </c>
      <c r="D200" t="s">
        <v>525</v>
      </c>
      <c r="E200">
        <v>33</v>
      </c>
      <c r="F200" s="15">
        <v>17.11</v>
      </c>
      <c r="G200" s="15">
        <f t="shared" si="3"/>
        <v>564.63</v>
      </c>
    </row>
    <row r="201" spans="1:7" x14ac:dyDescent="0.25">
      <c r="A201" t="s">
        <v>415</v>
      </c>
      <c r="B201" t="s">
        <v>415</v>
      </c>
      <c r="C201" t="s">
        <v>894</v>
      </c>
      <c r="D201" t="s">
        <v>526</v>
      </c>
      <c r="E201">
        <v>43</v>
      </c>
      <c r="F201" s="15">
        <v>17.11</v>
      </c>
      <c r="G201" s="15">
        <f t="shared" si="3"/>
        <v>735.73</v>
      </c>
    </row>
    <row r="202" spans="1:7" x14ac:dyDescent="0.25">
      <c r="A202" t="s">
        <v>415</v>
      </c>
      <c r="B202" t="s">
        <v>415</v>
      </c>
      <c r="C202" t="s">
        <v>894</v>
      </c>
      <c r="D202" t="s">
        <v>527</v>
      </c>
      <c r="E202">
        <v>81</v>
      </c>
      <c r="F202" s="15">
        <v>17.11</v>
      </c>
      <c r="G202" s="15">
        <f t="shared" si="3"/>
        <v>1385.9099999999999</v>
      </c>
    </row>
    <row r="203" spans="1:7" x14ac:dyDescent="0.25">
      <c r="A203" t="s">
        <v>415</v>
      </c>
      <c r="B203" t="s">
        <v>415</v>
      </c>
      <c r="C203" t="s">
        <v>894</v>
      </c>
      <c r="D203" t="s">
        <v>543</v>
      </c>
      <c r="E203">
        <v>42</v>
      </c>
      <c r="F203" s="15">
        <v>17.11</v>
      </c>
      <c r="G203" s="15">
        <f t="shared" si="3"/>
        <v>718.62</v>
      </c>
    </row>
    <row r="204" spans="1:7" x14ac:dyDescent="0.25">
      <c r="A204" t="s">
        <v>416</v>
      </c>
      <c r="B204" t="s">
        <v>416</v>
      </c>
      <c r="C204" t="s">
        <v>894</v>
      </c>
      <c r="D204" t="s">
        <v>527</v>
      </c>
      <c r="E204">
        <v>9</v>
      </c>
      <c r="F204" s="15">
        <v>18.46</v>
      </c>
      <c r="G204" s="15">
        <f t="shared" si="3"/>
        <v>166.14000000000001</v>
      </c>
    </row>
    <row r="205" spans="1:7" x14ac:dyDescent="0.25">
      <c r="A205" t="s">
        <v>417</v>
      </c>
      <c r="B205" t="s">
        <v>417</v>
      </c>
      <c r="C205" t="s">
        <v>894</v>
      </c>
      <c r="D205" t="s">
        <v>525</v>
      </c>
      <c r="E205">
        <v>12</v>
      </c>
      <c r="F205" s="15">
        <v>28.26</v>
      </c>
      <c r="G205" s="15">
        <f t="shared" si="3"/>
        <v>339.12</v>
      </c>
    </row>
    <row r="206" spans="1:7" x14ac:dyDescent="0.25">
      <c r="A206" t="s">
        <v>417</v>
      </c>
      <c r="B206" t="s">
        <v>417</v>
      </c>
      <c r="C206" t="s">
        <v>894</v>
      </c>
      <c r="D206" t="s">
        <v>527</v>
      </c>
      <c r="E206">
        <v>54</v>
      </c>
      <c r="F206" s="15">
        <v>28.26</v>
      </c>
      <c r="G206" s="15">
        <f t="shared" si="3"/>
        <v>1526.0400000000002</v>
      </c>
    </row>
    <row r="207" spans="1:7" x14ac:dyDescent="0.25">
      <c r="A207" t="s">
        <v>417</v>
      </c>
      <c r="B207" t="s">
        <v>417</v>
      </c>
      <c r="C207" t="s">
        <v>894</v>
      </c>
      <c r="D207" t="s">
        <v>529</v>
      </c>
      <c r="E207">
        <v>212</v>
      </c>
      <c r="F207" s="15">
        <v>28.26</v>
      </c>
      <c r="G207" s="15">
        <f t="shared" si="3"/>
        <v>5991.12</v>
      </c>
    </row>
    <row r="208" spans="1:7" x14ac:dyDescent="0.25">
      <c r="A208" t="s">
        <v>417</v>
      </c>
      <c r="B208" t="s">
        <v>417</v>
      </c>
      <c r="C208" t="s">
        <v>894</v>
      </c>
      <c r="D208" t="s">
        <v>547</v>
      </c>
      <c r="E208">
        <v>20</v>
      </c>
      <c r="F208" s="15">
        <v>28.26</v>
      </c>
      <c r="G208" s="15">
        <f t="shared" si="3"/>
        <v>565.20000000000005</v>
      </c>
    </row>
    <row r="209" spans="1:7" x14ac:dyDescent="0.25">
      <c r="A209" t="s">
        <v>418</v>
      </c>
      <c r="B209" t="s">
        <v>418</v>
      </c>
      <c r="C209" t="s">
        <v>894</v>
      </c>
      <c r="D209" t="s">
        <v>525</v>
      </c>
      <c r="E209">
        <v>83</v>
      </c>
      <c r="F209" s="15">
        <v>29.99</v>
      </c>
      <c r="G209" s="15">
        <f t="shared" si="3"/>
        <v>2489.17</v>
      </c>
    </row>
    <row r="210" spans="1:7" x14ac:dyDescent="0.25">
      <c r="A210" t="s">
        <v>418</v>
      </c>
      <c r="B210" t="s">
        <v>418</v>
      </c>
      <c r="C210" t="s">
        <v>894</v>
      </c>
      <c r="D210" t="s">
        <v>529</v>
      </c>
      <c r="E210">
        <v>101</v>
      </c>
      <c r="F210" s="15">
        <v>29.99</v>
      </c>
      <c r="G210" s="15">
        <f t="shared" si="3"/>
        <v>3028.99</v>
      </c>
    </row>
    <row r="211" spans="1:7" x14ac:dyDescent="0.25">
      <c r="A211" t="s">
        <v>418</v>
      </c>
      <c r="B211" t="s">
        <v>418</v>
      </c>
      <c r="C211" t="s">
        <v>894</v>
      </c>
      <c r="D211" t="s">
        <v>531</v>
      </c>
      <c r="E211">
        <v>276</v>
      </c>
      <c r="F211" s="15">
        <v>29.99</v>
      </c>
      <c r="G211" s="15">
        <f t="shared" si="3"/>
        <v>8277.24</v>
      </c>
    </row>
    <row r="212" spans="1:7" x14ac:dyDescent="0.25">
      <c r="A212" t="s">
        <v>419</v>
      </c>
      <c r="B212" t="s">
        <v>419</v>
      </c>
      <c r="C212" t="s">
        <v>894</v>
      </c>
      <c r="D212" t="s">
        <v>549</v>
      </c>
      <c r="E212">
        <v>112</v>
      </c>
      <c r="F212" s="15">
        <v>9.7200000000000006</v>
      </c>
      <c r="G212" s="15">
        <f t="shared" si="3"/>
        <v>1088.6400000000001</v>
      </c>
    </row>
    <row r="213" spans="1:7" x14ac:dyDescent="0.25">
      <c r="A213" t="s">
        <v>420</v>
      </c>
      <c r="B213" t="s">
        <v>420</v>
      </c>
      <c r="C213" t="s">
        <v>894</v>
      </c>
      <c r="D213" t="s">
        <v>543</v>
      </c>
      <c r="E213">
        <v>106</v>
      </c>
      <c r="F213" s="15">
        <v>7.45</v>
      </c>
      <c r="G213" s="15">
        <f t="shared" si="3"/>
        <v>789.7</v>
      </c>
    </row>
    <row r="214" spans="1:7" x14ac:dyDescent="0.25">
      <c r="A214" t="s">
        <v>420</v>
      </c>
      <c r="B214" t="s">
        <v>420</v>
      </c>
      <c r="C214" t="s">
        <v>894</v>
      </c>
      <c r="D214" t="s">
        <v>547</v>
      </c>
      <c r="E214">
        <v>35</v>
      </c>
      <c r="F214" s="15">
        <v>7.45</v>
      </c>
      <c r="G214" s="15">
        <f t="shared" si="3"/>
        <v>260.75</v>
      </c>
    </row>
    <row r="215" spans="1:7" x14ac:dyDescent="0.25">
      <c r="A215" t="s">
        <v>421</v>
      </c>
      <c r="B215" t="s">
        <v>421</v>
      </c>
      <c r="C215" t="s">
        <v>894</v>
      </c>
      <c r="D215" t="s">
        <v>524</v>
      </c>
      <c r="E215">
        <v>29</v>
      </c>
      <c r="F215" s="15">
        <v>18.72</v>
      </c>
      <c r="G215" s="15">
        <f t="shared" si="3"/>
        <v>542.88</v>
      </c>
    </row>
    <row r="216" spans="1:7" x14ac:dyDescent="0.25">
      <c r="A216" t="s">
        <v>421</v>
      </c>
      <c r="B216" t="s">
        <v>421</v>
      </c>
      <c r="C216" t="s">
        <v>894</v>
      </c>
      <c r="D216" t="s">
        <v>525</v>
      </c>
      <c r="E216">
        <v>156</v>
      </c>
      <c r="F216" s="15">
        <v>18.72</v>
      </c>
      <c r="G216" s="15">
        <f t="shared" si="3"/>
        <v>2920.3199999999997</v>
      </c>
    </row>
    <row r="217" spans="1:7" x14ac:dyDescent="0.25">
      <c r="A217" t="s">
        <v>421</v>
      </c>
      <c r="B217" t="s">
        <v>421</v>
      </c>
      <c r="C217" t="s">
        <v>894</v>
      </c>
      <c r="D217" t="s">
        <v>526</v>
      </c>
      <c r="E217">
        <v>114</v>
      </c>
      <c r="F217" s="15">
        <v>18.72</v>
      </c>
      <c r="G217" s="15">
        <f t="shared" si="3"/>
        <v>2134.08</v>
      </c>
    </row>
    <row r="218" spans="1:7" x14ac:dyDescent="0.25">
      <c r="A218" t="s">
        <v>421</v>
      </c>
      <c r="B218" t="s">
        <v>421</v>
      </c>
      <c r="C218" t="s">
        <v>894</v>
      </c>
      <c r="D218" t="s">
        <v>527</v>
      </c>
      <c r="E218">
        <v>72</v>
      </c>
      <c r="F218" s="15">
        <v>18.72</v>
      </c>
      <c r="G218" s="15">
        <f t="shared" si="3"/>
        <v>1347.84</v>
      </c>
    </row>
    <row r="219" spans="1:7" ht="15.75" thickBot="1" x14ac:dyDescent="0.3">
      <c r="A219" s="16" t="s">
        <v>421</v>
      </c>
      <c r="B219" s="16" t="s">
        <v>421</v>
      </c>
      <c r="C219" s="16" t="s">
        <v>894</v>
      </c>
      <c r="D219" s="16" t="s">
        <v>530</v>
      </c>
      <c r="E219" s="16">
        <v>122</v>
      </c>
      <c r="F219" s="17">
        <v>18.72</v>
      </c>
      <c r="G219" s="17">
        <v>18.72</v>
      </c>
    </row>
    <row r="220" spans="1:7" x14ac:dyDescent="0.25">
      <c r="A220" t="s">
        <v>427</v>
      </c>
      <c r="B220" t="s">
        <v>427</v>
      </c>
      <c r="C220" t="s">
        <v>813</v>
      </c>
      <c r="D220" t="s">
        <v>536</v>
      </c>
      <c r="E220">
        <v>392</v>
      </c>
      <c r="F220" s="15">
        <v>41.67</v>
      </c>
      <c r="G220" s="15">
        <f t="shared" ref="G220:G234" si="4">F220*E220</f>
        <v>16334.640000000001</v>
      </c>
    </row>
    <row r="221" spans="1:7" x14ac:dyDescent="0.25">
      <c r="A221" t="s">
        <v>427</v>
      </c>
      <c r="B221" t="s">
        <v>427</v>
      </c>
      <c r="C221" t="s">
        <v>813</v>
      </c>
      <c r="D221" t="s">
        <v>549</v>
      </c>
      <c r="E221">
        <v>14</v>
      </c>
      <c r="F221" s="15">
        <v>41.67</v>
      </c>
      <c r="G221" s="15">
        <f t="shared" si="4"/>
        <v>583.38</v>
      </c>
    </row>
    <row r="222" spans="1:7" x14ac:dyDescent="0.25">
      <c r="A222" t="s">
        <v>428</v>
      </c>
      <c r="B222" t="s">
        <v>428</v>
      </c>
      <c r="C222" t="s">
        <v>813</v>
      </c>
      <c r="D222" t="s">
        <v>536</v>
      </c>
      <c r="E222">
        <v>100</v>
      </c>
      <c r="F222" s="15">
        <v>67.13</v>
      </c>
      <c r="G222" s="15">
        <f t="shared" si="4"/>
        <v>6713</v>
      </c>
    </row>
    <row r="223" spans="1:7" x14ac:dyDescent="0.25">
      <c r="A223" t="s">
        <v>429</v>
      </c>
      <c r="B223" t="s">
        <v>429</v>
      </c>
      <c r="C223" t="s">
        <v>813</v>
      </c>
      <c r="D223" t="s">
        <v>537</v>
      </c>
      <c r="E223">
        <v>294</v>
      </c>
      <c r="F223" s="15">
        <v>46.82</v>
      </c>
      <c r="G223" s="15">
        <f t="shared" si="4"/>
        <v>13765.08</v>
      </c>
    </row>
    <row r="224" spans="1:7" ht="15.75" thickBot="1" x14ac:dyDescent="0.3">
      <c r="A224" s="16" t="s">
        <v>431</v>
      </c>
      <c r="B224" s="16" t="s">
        <v>431</v>
      </c>
      <c r="C224" s="16" t="s">
        <v>813</v>
      </c>
      <c r="D224" s="16" t="s">
        <v>539</v>
      </c>
      <c r="E224" s="16">
        <v>27</v>
      </c>
      <c r="F224" s="17">
        <v>58.21</v>
      </c>
      <c r="G224" s="17">
        <f t="shared" si="4"/>
        <v>1571.67</v>
      </c>
    </row>
    <row r="225" spans="1:7" x14ac:dyDescent="0.25">
      <c r="A225" t="s">
        <v>433</v>
      </c>
      <c r="B225" t="s">
        <v>433</v>
      </c>
      <c r="C225" t="s">
        <v>813</v>
      </c>
      <c r="D225" t="s">
        <v>545</v>
      </c>
      <c r="E225">
        <v>1833</v>
      </c>
      <c r="F225" s="15">
        <v>26.69</v>
      </c>
      <c r="G225" s="15">
        <f t="shared" si="4"/>
        <v>48922.770000000004</v>
      </c>
    </row>
    <row r="226" spans="1:7" x14ac:dyDescent="0.25">
      <c r="A226" t="s">
        <v>433</v>
      </c>
      <c r="B226" t="s">
        <v>433</v>
      </c>
      <c r="C226" t="s">
        <v>813</v>
      </c>
      <c r="D226" t="s">
        <v>523</v>
      </c>
      <c r="E226">
        <v>126</v>
      </c>
      <c r="F226" s="15">
        <v>26.69</v>
      </c>
      <c r="G226" s="15">
        <f t="shared" si="4"/>
        <v>3362.94</v>
      </c>
    </row>
    <row r="227" spans="1:7" ht="15.75" thickBot="1" x14ac:dyDescent="0.3">
      <c r="A227" s="16" t="s">
        <v>433</v>
      </c>
      <c r="B227" s="16" t="s">
        <v>433</v>
      </c>
      <c r="C227" s="16" t="s">
        <v>813</v>
      </c>
      <c r="D227" s="16" t="s">
        <v>528</v>
      </c>
      <c r="E227" s="16">
        <v>103</v>
      </c>
      <c r="F227" s="17">
        <v>26.69</v>
      </c>
      <c r="G227" s="17">
        <f t="shared" si="4"/>
        <v>2749.07</v>
      </c>
    </row>
    <row r="228" spans="1:7" x14ac:dyDescent="0.25">
      <c r="A228" t="s">
        <v>909</v>
      </c>
      <c r="B228" t="s">
        <v>909</v>
      </c>
      <c r="C228" t="s">
        <v>813</v>
      </c>
      <c r="D228" t="s">
        <v>528</v>
      </c>
      <c r="E228">
        <v>54</v>
      </c>
      <c r="F228" s="15">
        <v>58.21</v>
      </c>
      <c r="G228" s="15">
        <f t="shared" si="4"/>
        <v>3143.34</v>
      </c>
    </row>
    <row r="229" spans="1:7" x14ac:dyDescent="0.25">
      <c r="A229" t="s">
        <v>435</v>
      </c>
      <c r="B229" t="s">
        <v>435</v>
      </c>
      <c r="C229" t="s">
        <v>813</v>
      </c>
      <c r="D229" t="s">
        <v>522</v>
      </c>
      <c r="E229">
        <v>9</v>
      </c>
      <c r="F229" s="15">
        <v>23.09</v>
      </c>
      <c r="G229" s="15">
        <f t="shared" si="4"/>
        <v>207.81</v>
      </c>
    </row>
    <row r="230" spans="1:7" x14ac:dyDescent="0.25">
      <c r="A230" t="s">
        <v>435</v>
      </c>
      <c r="B230" t="s">
        <v>435</v>
      </c>
      <c r="C230" t="s">
        <v>813</v>
      </c>
      <c r="D230" t="s">
        <v>523</v>
      </c>
      <c r="E230">
        <v>66</v>
      </c>
      <c r="F230" s="15">
        <v>23.09</v>
      </c>
      <c r="G230" s="15">
        <f t="shared" si="4"/>
        <v>1523.94</v>
      </c>
    </row>
    <row r="231" spans="1:7" x14ac:dyDescent="0.25">
      <c r="A231" t="s">
        <v>436</v>
      </c>
      <c r="B231" t="s">
        <v>437</v>
      </c>
      <c r="C231" t="s">
        <v>910</v>
      </c>
      <c r="D231" t="s">
        <v>534</v>
      </c>
      <c r="E231">
        <v>55</v>
      </c>
      <c r="F231" s="15"/>
      <c r="G231" s="15">
        <f t="shared" si="4"/>
        <v>0</v>
      </c>
    </row>
    <row r="232" spans="1:7" x14ac:dyDescent="0.25">
      <c r="A232" t="s">
        <v>436</v>
      </c>
      <c r="B232" t="s">
        <v>436</v>
      </c>
      <c r="C232" t="s">
        <v>813</v>
      </c>
      <c r="D232" t="s">
        <v>535</v>
      </c>
      <c r="E232">
        <v>65</v>
      </c>
      <c r="F232" s="15"/>
      <c r="G232" s="15">
        <f t="shared" si="4"/>
        <v>0</v>
      </c>
    </row>
    <row r="233" spans="1:7" x14ac:dyDescent="0.25">
      <c r="A233" t="s">
        <v>436</v>
      </c>
      <c r="B233" t="s">
        <v>436</v>
      </c>
      <c r="C233" t="s">
        <v>813</v>
      </c>
      <c r="D233" t="s">
        <v>539</v>
      </c>
      <c r="E233">
        <v>90</v>
      </c>
      <c r="F233" s="15"/>
      <c r="G233" s="15">
        <f t="shared" si="4"/>
        <v>0</v>
      </c>
    </row>
    <row r="234" spans="1:7" x14ac:dyDescent="0.25">
      <c r="A234" t="s">
        <v>436</v>
      </c>
      <c r="B234" t="s">
        <v>436</v>
      </c>
      <c r="C234" t="s">
        <v>813</v>
      </c>
      <c r="D234" t="s">
        <v>540</v>
      </c>
      <c r="E234">
        <v>58</v>
      </c>
      <c r="F234" s="15"/>
      <c r="G234" s="15">
        <f t="shared" si="4"/>
        <v>0</v>
      </c>
    </row>
    <row r="235" spans="1:7" x14ac:dyDescent="0.25">
      <c r="A235" t="s">
        <v>438</v>
      </c>
      <c r="B235" t="s">
        <v>438</v>
      </c>
      <c r="C235" t="s">
        <v>813</v>
      </c>
      <c r="D235" t="s">
        <v>523</v>
      </c>
      <c r="E235">
        <v>1162</v>
      </c>
      <c r="F235" s="15">
        <v>40.46</v>
      </c>
      <c r="G235" s="15">
        <f>+F235*E235</f>
        <v>47014.520000000004</v>
      </c>
    </row>
    <row r="236" spans="1:7" x14ac:dyDescent="0.25">
      <c r="A236" t="s">
        <v>438</v>
      </c>
      <c r="B236" t="s">
        <v>438</v>
      </c>
      <c r="C236" t="s">
        <v>813</v>
      </c>
      <c r="D236" t="s">
        <v>529</v>
      </c>
      <c r="E236">
        <v>688</v>
      </c>
      <c r="F236" s="15">
        <v>40.46</v>
      </c>
      <c r="G236" s="15">
        <f>+F236*E236</f>
        <v>27836.48</v>
      </c>
    </row>
    <row r="237" spans="1:7" x14ac:dyDescent="0.25">
      <c r="A237" t="s">
        <v>438</v>
      </c>
      <c r="B237" t="s">
        <v>438</v>
      </c>
      <c r="C237" t="s">
        <v>813</v>
      </c>
      <c r="D237" t="s">
        <v>534</v>
      </c>
      <c r="E237">
        <v>266</v>
      </c>
      <c r="F237" s="15">
        <v>40.46</v>
      </c>
      <c r="G237" s="15">
        <f>+F237*E237</f>
        <v>10762.36</v>
      </c>
    </row>
    <row r="238" spans="1:7" x14ac:dyDescent="0.25">
      <c r="A238" t="s">
        <v>438</v>
      </c>
      <c r="B238" t="s">
        <v>438</v>
      </c>
      <c r="C238" t="s">
        <v>813</v>
      </c>
      <c r="D238" t="s">
        <v>539</v>
      </c>
      <c r="E238">
        <v>10</v>
      </c>
      <c r="F238" s="15">
        <v>40.46</v>
      </c>
      <c r="G238" s="15">
        <f>+F238*E238</f>
        <v>404.6</v>
      </c>
    </row>
    <row r="239" spans="1:7" x14ac:dyDescent="0.25">
      <c r="A239" t="s">
        <v>438</v>
      </c>
      <c r="B239" t="s">
        <v>438</v>
      </c>
      <c r="C239" t="s">
        <v>813</v>
      </c>
      <c r="D239" t="s">
        <v>549</v>
      </c>
      <c r="E239">
        <v>126</v>
      </c>
      <c r="F239" s="15">
        <v>40.46</v>
      </c>
      <c r="G239" s="15">
        <f>+F239*E239</f>
        <v>5097.96</v>
      </c>
    </row>
    <row r="240" spans="1:7" x14ac:dyDescent="0.25">
      <c r="A240" t="s">
        <v>440</v>
      </c>
      <c r="B240" t="s">
        <v>440</v>
      </c>
      <c r="C240" t="s">
        <v>831</v>
      </c>
      <c r="D240" t="s">
        <v>523</v>
      </c>
      <c r="E240">
        <v>300</v>
      </c>
      <c r="F240" s="15"/>
      <c r="G240" s="15">
        <f t="shared" ref="G240:G256" si="5">F240*E240</f>
        <v>0</v>
      </c>
    </row>
    <row r="241" spans="1:7" x14ac:dyDescent="0.25">
      <c r="A241" t="s">
        <v>440</v>
      </c>
      <c r="B241" t="s">
        <v>440</v>
      </c>
      <c r="C241" t="s">
        <v>831</v>
      </c>
      <c r="D241" t="s">
        <v>526</v>
      </c>
      <c r="E241">
        <v>60</v>
      </c>
      <c r="F241" s="15"/>
      <c r="G241" s="15">
        <f t="shared" si="5"/>
        <v>0</v>
      </c>
    </row>
    <row r="242" spans="1:7" x14ac:dyDescent="0.25">
      <c r="A242" t="s">
        <v>439</v>
      </c>
      <c r="B242" t="s">
        <v>439</v>
      </c>
      <c r="C242" t="s">
        <v>911</v>
      </c>
      <c r="D242" t="s">
        <v>529</v>
      </c>
      <c r="E242">
        <v>79</v>
      </c>
      <c r="F242" s="15"/>
      <c r="G242" s="15">
        <f t="shared" si="5"/>
        <v>0</v>
      </c>
    </row>
    <row r="243" spans="1:7" x14ac:dyDescent="0.25">
      <c r="A243" t="s">
        <v>439</v>
      </c>
      <c r="B243" t="s">
        <v>440</v>
      </c>
      <c r="C243" t="s">
        <v>831</v>
      </c>
      <c r="D243" t="s">
        <v>530</v>
      </c>
      <c r="E243">
        <v>22</v>
      </c>
      <c r="F243" s="15"/>
      <c r="G243" s="15">
        <f t="shared" si="5"/>
        <v>0</v>
      </c>
    </row>
    <row r="244" spans="1:7" x14ac:dyDescent="0.25">
      <c r="A244" t="s">
        <v>439</v>
      </c>
      <c r="B244" t="s">
        <v>440</v>
      </c>
      <c r="C244" t="s">
        <v>831</v>
      </c>
      <c r="D244" t="s">
        <v>531</v>
      </c>
      <c r="E244">
        <v>245</v>
      </c>
      <c r="F244" s="15"/>
      <c r="G244" s="15">
        <f t="shared" si="5"/>
        <v>0</v>
      </c>
    </row>
    <row r="245" spans="1:7" x14ac:dyDescent="0.25">
      <c r="A245" t="s">
        <v>432</v>
      </c>
      <c r="B245" t="s">
        <v>432</v>
      </c>
      <c r="C245" t="s">
        <v>813</v>
      </c>
      <c r="D245" t="s">
        <v>523</v>
      </c>
      <c r="E245">
        <v>57</v>
      </c>
      <c r="F245" s="15">
        <v>49.95</v>
      </c>
      <c r="G245" s="15">
        <f t="shared" si="5"/>
        <v>2847.15</v>
      </c>
    </row>
    <row r="246" spans="1:7" x14ac:dyDescent="0.25">
      <c r="A246" t="s">
        <v>432</v>
      </c>
      <c r="B246" t="s">
        <v>432</v>
      </c>
      <c r="C246" t="s">
        <v>813</v>
      </c>
      <c r="D246" t="s">
        <v>536</v>
      </c>
      <c r="E246">
        <v>259</v>
      </c>
      <c r="F246" s="15">
        <v>49.95</v>
      </c>
      <c r="G246" s="15">
        <f t="shared" si="5"/>
        <v>12937.050000000001</v>
      </c>
    </row>
    <row r="247" spans="1:7" x14ac:dyDescent="0.25">
      <c r="A247" t="s">
        <v>432</v>
      </c>
      <c r="B247" t="s">
        <v>432</v>
      </c>
      <c r="C247" t="s">
        <v>813</v>
      </c>
      <c r="D247" t="s">
        <v>895</v>
      </c>
      <c r="E247">
        <v>288</v>
      </c>
      <c r="F247" s="15">
        <v>49.95</v>
      </c>
      <c r="G247" s="15">
        <f t="shared" si="5"/>
        <v>14385.6</v>
      </c>
    </row>
    <row r="248" spans="1:7" x14ac:dyDescent="0.25">
      <c r="A248" t="s">
        <v>441</v>
      </c>
      <c r="B248" t="s">
        <v>441</v>
      </c>
      <c r="C248" t="s">
        <v>813</v>
      </c>
      <c r="D248" t="s">
        <v>542</v>
      </c>
      <c r="E248">
        <v>39</v>
      </c>
      <c r="F248" s="15">
        <v>48.91</v>
      </c>
      <c r="G248" s="15">
        <f t="shared" si="5"/>
        <v>1907.4899999999998</v>
      </c>
    </row>
    <row r="249" spans="1:7" ht="15.75" thickBot="1" x14ac:dyDescent="0.3">
      <c r="A249" s="16" t="s">
        <v>441</v>
      </c>
      <c r="B249" s="16" t="s">
        <v>441</v>
      </c>
      <c r="C249" s="16" t="s">
        <v>813</v>
      </c>
      <c r="D249" s="16" t="s">
        <v>545</v>
      </c>
      <c r="E249" s="16">
        <v>488</v>
      </c>
      <c r="F249" s="17">
        <v>48.91</v>
      </c>
      <c r="G249" s="17">
        <f t="shared" si="5"/>
        <v>23868.079999999998</v>
      </c>
    </row>
    <row r="250" spans="1:7" x14ac:dyDescent="0.25">
      <c r="A250" t="s">
        <v>453</v>
      </c>
      <c r="B250" t="s">
        <v>453</v>
      </c>
      <c r="C250" t="s">
        <v>813</v>
      </c>
      <c r="D250" t="s">
        <v>540</v>
      </c>
      <c r="E250">
        <v>17</v>
      </c>
      <c r="F250" s="15"/>
      <c r="G250" s="15">
        <f t="shared" si="5"/>
        <v>0</v>
      </c>
    </row>
    <row r="251" spans="1:7" x14ac:dyDescent="0.25">
      <c r="A251" t="s">
        <v>456</v>
      </c>
      <c r="B251" t="s">
        <v>456</v>
      </c>
      <c r="C251" t="s">
        <v>874</v>
      </c>
      <c r="D251" t="s">
        <v>543</v>
      </c>
      <c r="E251">
        <v>18</v>
      </c>
      <c r="F251" s="15"/>
      <c r="G251" s="15">
        <f t="shared" si="5"/>
        <v>0</v>
      </c>
    </row>
    <row r="252" spans="1:7" x14ac:dyDescent="0.25">
      <c r="A252" t="s">
        <v>457</v>
      </c>
      <c r="B252" t="s">
        <v>457</v>
      </c>
      <c r="C252" t="s">
        <v>896</v>
      </c>
      <c r="D252" t="s">
        <v>522</v>
      </c>
      <c r="E252">
        <v>52</v>
      </c>
      <c r="F252" s="15"/>
      <c r="G252" s="15">
        <f t="shared" si="5"/>
        <v>0</v>
      </c>
    </row>
    <row r="253" spans="1:7" x14ac:dyDescent="0.25">
      <c r="A253" t="s">
        <v>457</v>
      </c>
      <c r="B253" t="s">
        <v>457</v>
      </c>
      <c r="C253" t="s">
        <v>894</v>
      </c>
      <c r="D253" t="s">
        <v>529</v>
      </c>
      <c r="E253">
        <v>6</v>
      </c>
      <c r="F253" s="15"/>
      <c r="G253" s="15">
        <f t="shared" si="5"/>
        <v>0</v>
      </c>
    </row>
    <row r="254" spans="1:7" ht="15.75" thickBot="1" x14ac:dyDescent="0.3">
      <c r="A254" s="16" t="s">
        <v>457</v>
      </c>
      <c r="B254" s="16" t="s">
        <v>457</v>
      </c>
      <c r="C254" s="16" t="s">
        <v>813</v>
      </c>
      <c r="D254" s="16" t="s">
        <v>547</v>
      </c>
      <c r="E254" s="16">
        <v>72</v>
      </c>
      <c r="F254" s="17"/>
      <c r="G254" s="17">
        <f t="shared" si="5"/>
        <v>0</v>
      </c>
    </row>
    <row r="255" spans="1:7" ht="15.75" thickBot="1" x14ac:dyDescent="0.3">
      <c r="A255" s="16" t="s">
        <v>471</v>
      </c>
      <c r="B255" s="16" t="s">
        <v>471</v>
      </c>
      <c r="C255" s="16" t="s">
        <v>894</v>
      </c>
      <c r="D255" s="16" t="s">
        <v>524</v>
      </c>
      <c r="E255" s="16">
        <v>2286</v>
      </c>
      <c r="F255" s="17">
        <v>21.06</v>
      </c>
      <c r="G255" s="17">
        <f t="shared" si="5"/>
        <v>48143.159999999996</v>
      </c>
    </row>
    <row r="256" spans="1:7" x14ac:dyDescent="0.25">
      <c r="A256" t="s">
        <v>478</v>
      </c>
      <c r="B256" t="s">
        <v>478</v>
      </c>
      <c r="C256" t="s">
        <v>894</v>
      </c>
      <c r="D256" t="s">
        <v>543</v>
      </c>
      <c r="E256">
        <v>78</v>
      </c>
      <c r="F256" s="15"/>
      <c r="G256" s="15">
        <f t="shared" si="5"/>
        <v>0</v>
      </c>
    </row>
    <row r="258" spans="1:7" ht="15.75" thickBot="1" x14ac:dyDescent="0.3">
      <c r="A258" s="16" t="s">
        <v>483</v>
      </c>
      <c r="B258" s="16" t="s">
        <v>483</v>
      </c>
      <c r="C258" s="16" t="s">
        <v>894</v>
      </c>
      <c r="D258" s="16" t="s">
        <v>542</v>
      </c>
      <c r="E258" s="16">
        <v>31</v>
      </c>
      <c r="F258" s="17">
        <v>0</v>
      </c>
      <c r="G258" s="17">
        <f>F258*E258</f>
        <v>0</v>
      </c>
    </row>
    <row r="259" spans="1:7" x14ac:dyDescent="0.25">
      <c r="A259" t="s">
        <v>485</v>
      </c>
      <c r="B259" t="s">
        <v>485</v>
      </c>
      <c r="C259" t="s">
        <v>894</v>
      </c>
      <c r="D259" t="s">
        <v>545</v>
      </c>
      <c r="E259">
        <v>160</v>
      </c>
      <c r="F259" s="15">
        <v>58.37</v>
      </c>
      <c r="G259" s="15">
        <f>F259*E259</f>
        <v>9339.1999999999989</v>
      </c>
    </row>
    <row r="260" spans="1:7" x14ac:dyDescent="0.25">
      <c r="A260" t="s">
        <v>493</v>
      </c>
      <c r="B260" t="s">
        <v>493</v>
      </c>
      <c r="C260" t="s">
        <v>813</v>
      </c>
      <c r="D260" t="s">
        <v>537</v>
      </c>
      <c r="E260">
        <v>54</v>
      </c>
      <c r="F260" s="15"/>
      <c r="G260" s="15"/>
    </row>
    <row r="261" spans="1:7" x14ac:dyDescent="0.25">
      <c r="A261" t="s">
        <v>493</v>
      </c>
      <c r="B261" t="s">
        <v>493</v>
      </c>
      <c r="C261" t="s">
        <v>813</v>
      </c>
      <c r="D261" t="s">
        <v>543</v>
      </c>
      <c r="E261">
        <v>27</v>
      </c>
      <c r="F261" s="15"/>
      <c r="G261" s="15">
        <f>F261*E261</f>
        <v>0</v>
      </c>
    </row>
    <row r="262" spans="1:7" x14ac:dyDescent="0.25">
      <c r="A262" t="s">
        <v>510</v>
      </c>
      <c r="B262" t="s">
        <v>510</v>
      </c>
      <c r="C262" t="s">
        <v>894</v>
      </c>
      <c r="D262" t="s">
        <v>529</v>
      </c>
      <c r="E262">
        <v>161</v>
      </c>
      <c r="F262" s="15"/>
      <c r="G262" s="15">
        <f>F262*E262</f>
        <v>0</v>
      </c>
    </row>
    <row r="263" spans="1:7" x14ac:dyDescent="0.25">
      <c r="A263" s="19" t="s">
        <v>514</v>
      </c>
      <c r="B263" s="19" t="s">
        <v>514</v>
      </c>
      <c r="C263" s="19" t="s">
        <v>894</v>
      </c>
      <c r="D263" s="19" t="s">
        <v>543</v>
      </c>
      <c r="E263" s="19">
        <v>6</v>
      </c>
      <c r="F263" s="20"/>
      <c r="G263" s="20">
        <f>F263*E263</f>
        <v>0</v>
      </c>
    </row>
    <row r="264" spans="1:7" x14ac:dyDescent="0.25">
      <c r="F264" s="15"/>
      <c r="G264" s="15"/>
    </row>
    <row r="265" spans="1:7" x14ac:dyDescent="0.25">
      <c r="F265" s="15"/>
      <c r="G265" s="15">
        <f>SUM(G2:G263)</f>
        <v>366931.44</v>
      </c>
    </row>
    <row r="266" spans="1:7" x14ac:dyDescent="0.25">
      <c r="F266" s="15"/>
      <c r="G266" s="15"/>
    </row>
    <row r="267" spans="1:7" x14ac:dyDescent="0.25">
      <c r="F267" s="15"/>
      <c r="G267" s="15"/>
    </row>
    <row r="268" spans="1:7" x14ac:dyDescent="0.25">
      <c r="F268" s="15"/>
      <c r="G268" s="15"/>
    </row>
    <row r="269" spans="1:7" x14ac:dyDescent="0.25">
      <c r="F269" s="15"/>
      <c r="G269" s="15"/>
    </row>
    <row r="270" spans="1:7" x14ac:dyDescent="0.25">
      <c r="F270" s="15"/>
      <c r="G270" s="15"/>
    </row>
    <row r="271" spans="1:7" x14ac:dyDescent="0.25">
      <c r="F271" s="15"/>
      <c r="G271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2"/>
  <sheetViews>
    <sheetView zoomScaleNormal="100" workbookViewId="0">
      <selection activeCell="H50" sqref="H50"/>
    </sheetView>
  </sheetViews>
  <sheetFormatPr defaultColWidth="8.7109375" defaultRowHeight="15" x14ac:dyDescent="0.25"/>
  <cols>
    <col min="1" max="1" width="15" customWidth="1"/>
    <col min="2" max="2" width="12" customWidth="1"/>
    <col min="3" max="3" width="8" customWidth="1"/>
    <col min="4" max="5" width="16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579</v>
      </c>
      <c r="E1" s="1" t="s">
        <v>580</v>
      </c>
    </row>
    <row r="2" spans="1:5" x14ac:dyDescent="0.25">
      <c r="A2" t="s">
        <v>457</v>
      </c>
      <c r="B2" t="s">
        <v>457</v>
      </c>
      <c r="D2">
        <v>130</v>
      </c>
      <c r="E2">
        <v>3</v>
      </c>
    </row>
    <row r="3" spans="1:5" x14ac:dyDescent="0.25">
      <c r="A3" t="s">
        <v>453</v>
      </c>
      <c r="B3" t="s">
        <v>453</v>
      </c>
      <c r="D3">
        <v>17</v>
      </c>
      <c r="E3">
        <v>1</v>
      </c>
    </row>
    <row r="4" spans="1:5" x14ac:dyDescent="0.25">
      <c r="A4" t="s">
        <v>479</v>
      </c>
      <c r="B4" t="s">
        <v>479</v>
      </c>
      <c r="D4">
        <v>156</v>
      </c>
      <c r="E4">
        <v>2</v>
      </c>
    </row>
    <row r="5" spans="1:5" x14ac:dyDescent="0.25">
      <c r="A5" t="s">
        <v>480</v>
      </c>
      <c r="B5" t="s">
        <v>480</v>
      </c>
      <c r="D5">
        <v>84</v>
      </c>
      <c r="E5">
        <v>1</v>
      </c>
    </row>
    <row r="6" spans="1:5" x14ac:dyDescent="0.25">
      <c r="A6" t="s">
        <v>478</v>
      </c>
      <c r="B6" t="s">
        <v>478</v>
      </c>
      <c r="D6">
        <v>78</v>
      </c>
      <c r="E6">
        <v>1</v>
      </c>
    </row>
    <row r="7" spans="1:5" x14ac:dyDescent="0.25">
      <c r="A7" t="s">
        <v>92</v>
      </c>
      <c r="B7" t="s">
        <v>91</v>
      </c>
      <c r="C7" t="s">
        <v>20</v>
      </c>
      <c r="D7">
        <v>48</v>
      </c>
      <c r="E7">
        <v>1</v>
      </c>
    </row>
    <row r="8" spans="1:5" x14ac:dyDescent="0.25">
      <c r="A8" t="s">
        <v>483</v>
      </c>
      <c r="B8" t="s">
        <v>483</v>
      </c>
      <c r="C8" t="s">
        <v>894</v>
      </c>
      <c r="D8">
        <v>31</v>
      </c>
      <c r="E8">
        <v>1</v>
      </c>
    </row>
    <row r="9" spans="1:5" x14ac:dyDescent="0.25">
      <c r="A9" t="s">
        <v>281</v>
      </c>
      <c r="B9" t="s">
        <v>282</v>
      </c>
      <c r="C9" t="s">
        <v>17</v>
      </c>
      <c r="D9">
        <v>146</v>
      </c>
      <c r="E9">
        <v>3</v>
      </c>
    </row>
    <row r="10" spans="1:5" x14ac:dyDescent="0.25">
      <c r="A10" t="s">
        <v>363</v>
      </c>
      <c r="B10" t="s">
        <v>362</v>
      </c>
      <c r="C10" t="s">
        <v>20</v>
      </c>
      <c r="D10">
        <v>70</v>
      </c>
      <c r="E10">
        <v>2</v>
      </c>
    </row>
    <row r="11" spans="1:5" x14ac:dyDescent="0.25">
      <c r="A11" t="s">
        <v>331</v>
      </c>
      <c r="B11" t="s">
        <v>332</v>
      </c>
      <c r="C11" t="s">
        <v>17</v>
      </c>
      <c r="D11">
        <v>315</v>
      </c>
      <c r="E11">
        <v>3</v>
      </c>
    </row>
    <row r="12" spans="1:5" x14ac:dyDescent="0.25">
      <c r="A12" t="s">
        <v>301</v>
      </c>
      <c r="B12" t="s">
        <v>302</v>
      </c>
      <c r="C12" t="s">
        <v>17</v>
      </c>
      <c r="D12">
        <v>197</v>
      </c>
      <c r="E12">
        <v>4</v>
      </c>
    </row>
    <row r="13" spans="1:5" x14ac:dyDescent="0.25">
      <c r="A13" t="s">
        <v>371</v>
      </c>
      <c r="B13" t="s">
        <v>372</v>
      </c>
      <c r="C13" t="s">
        <v>17</v>
      </c>
      <c r="D13">
        <v>150</v>
      </c>
      <c r="E13">
        <v>2</v>
      </c>
    </row>
    <row r="14" spans="1:5" x14ac:dyDescent="0.25">
      <c r="A14" t="s">
        <v>311</v>
      </c>
      <c r="B14" t="s">
        <v>312</v>
      </c>
      <c r="C14" t="s">
        <v>17</v>
      </c>
      <c r="D14">
        <v>26</v>
      </c>
      <c r="E14">
        <v>1</v>
      </c>
    </row>
    <row r="15" spans="1:5" x14ac:dyDescent="0.25">
      <c r="A15" t="s">
        <v>313</v>
      </c>
      <c r="B15" t="s">
        <v>312</v>
      </c>
      <c r="C15" t="s">
        <v>20</v>
      </c>
      <c r="D15">
        <v>54</v>
      </c>
      <c r="E15">
        <v>2</v>
      </c>
    </row>
    <row r="16" spans="1:5" x14ac:dyDescent="0.25">
      <c r="A16" t="s">
        <v>336</v>
      </c>
      <c r="B16" t="s">
        <v>337</v>
      </c>
      <c r="C16" t="s">
        <v>17</v>
      </c>
      <c r="D16">
        <v>9</v>
      </c>
      <c r="E16">
        <v>1</v>
      </c>
    </row>
    <row r="17" spans="1:5" x14ac:dyDescent="0.25">
      <c r="A17" t="s">
        <v>306</v>
      </c>
      <c r="B17" t="s">
        <v>307</v>
      </c>
      <c r="C17" t="s">
        <v>17</v>
      </c>
      <c r="D17">
        <v>62</v>
      </c>
      <c r="E17">
        <v>2</v>
      </c>
    </row>
    <row r="18" spans="1:5" x14ac:dyDescent="0.25">
      <c r="A18" t="s">
        <v>381</v>
      </c>
      <c r="B18" t="s">
        <v>382</v>
      </c>
      <c r="C18" t="s">
        <v>17</v>
      </c>
      <c r="D18">
        <v>128</v>
      </c>
      <c r="E18">
        <v>1</v>
      </c>
    </row>
    <row r="19" spans="1:5" x14ac:dyDescent="0.25">
      <c r="A19" t="s">
        <v>291</v>
      </c>
      <c r="B19" t="s">
        <v>292</v>
      </c>
      <c r="C19" t="s">
        <v>17</v>
      </c>
      <c r="D19">
        <v>282</v>
      </c>
      <c r="E19">
        <v>4</v>
      </c>
    </row>
    <row r="20" spans="1:5" x14ac:dyDescent="0.25">
      <c r="A20" t="s">
        <v>321</v>
      </c>
      <c r="B20" t="s">
        <v>322</v>
      </c>
      <c r="C20" t="s">
        <v>17</v>
      </c>
      <c r="D20">
        <v>108</v>
      </c>
      <c r="E20">
        <v>1</v>
      </c>
    </row>
    <row r="21" spans="1:5" x14ac:dyDescent="0.25">
      <c r="A21" t="s">
        <v>323</v>
      </c>
      <c r="B21" t="s">
        <v>322</v>
      </c>
      <c r="C21" t="s">
        <v>20</v>
      </c>
      <c r="D21">
        <v>38</v>
      </c>
      <c r="E21">
        <v>1</v>
      </c>
    </row>
    <row r="22" spans="1:5" x14ac:dyDescent="0.25">
      <c r="A22" t="s">
        <v>316</v>
      </c>
      <c r="B22" t="s">
        <v>317</v>
      </c>
      <c r="C22" t="s">
        <v>17</v>
      </c>
      <c r="D22">
        <v>120</v>
      </c>
      <c r="E22">
        <v>1</v>
      </c>
    </row>
    <row r="23" spans="1:5" x14ac:dyDescent="0.25">
      <c r="A23" t="s">
        <v>260</v>
      </c>
      <c r="B23" t="s">
        <v>261</v>
      </c>
      <c r="C23" t="s">
        <v>17</v>
      </c>
      <c r="D23">
        <v>989</v>
      </c>
      <c r="E23">
        <v>6</v>
      </c>
    </row>
    <row r="24" spans="1:5" x14ac:dyDescent="0.25">
      <c r="A24" t="s">
        <v>263</v>
      </c>
      <c r="B24" t="s">
        <v>261</v>
      </c>
      <c r="C24" t="s">
        <v>20</v>
      </c>
      <c r="D24">
        <v>13</v>
      </c>
      <c r="E24">
        <v>1</v>
      </c>
    </row>
    <row r="25" spans="1:5" x14ac:dyDescent="0.25">
      <c r="A25" t="s">
        <v>266</v>
      </c>
      <c r="B25" t="s">
        <v>267</v>
      </c>
      <c r="C25" t="s">
        <v>17</v>
      </c>
      <c r="D25">
        <v>1310</v>
      </c>
      <c r="E25">
        <v>8</v>
      </c>
    </row>
    <row r="26" spans="1:5" x14ac:dyDescent="0.25">
      <c r="A26" t="s">
        <v>268</v>
      </c>
      <c r="B26" t="s">
        <v>267</v>
      </c>
      <c r="C26" t="s">
        <v>20</v>
      </c>
      <c r="D26">
        <v>121</v>
      </c>
      <c r="E26">
        <v>3</v>
      </c>
    </row>
    <row r="27" spans="1:5" x14ac:dyDescent="0.25">
      <c r="A27" t="s">
        <v>326</v>
      </c>
      <c r="B27" t="s">
        <v>327</v>
      </c>
      <c r="C27" t="s">
        <v>17</v>
      </c>
      <c r="D27">
        <v>132</v>
      </c>
      <c r="E27">
        <v>1</v>
      </c>
    </row>
    <row r="28" spans="1:5" x14ac:dyDescent="0.25">
      <c r="A28" t="s">
        <v>328</v>
      </c>
      <c r="B28" t="s">
        <v>327</v>
      </c>
      <c r="C28" t="s">
        <v>20</v>
      </c>
      <c r="D28">
        <v>67</v>
      </c>
      <c r="E28">
        <v>1</v>
      </c>
    </row>
    <row r="29" spans="1:5" x14ac:dyDescent="0.25">
      <c r="A29" t="s">
        <v>286</v>
      </c>
      <c r="B29" t="s">
        <v>287</v>
      </c>
      <c r="C29" t="s">
        <v>17</v>
      </c>
      <c r="D29">
        <v>750</v>
      </c>
      <c r="E29">
        <v>7</v>
      </c>
    </row>
    <row r="30" spans="1:5" x14ac:dyDescent="0.25">
      <c r="A30" t="s">
        <v>351</v>
      </c>
      <c r="B30" t="s">
        <v>352</v>
      </c>
      <c r="C30" t="s">
        <v>17</v>
      </c>
      <c r="D30">
        <v>60</v>
      </c>
      <c r="E30">
        <v>1</v>
      </c>
    </row>
    <row r="31" spans="1:5" x14ac:dyDescent="0.25">
      <c r="A31" t="s">
        <v>298</v>
      </c>
      <c r="B31" t="s">
        <v>297</v>
      </c>
      <c r="C31" t="s">
        <v>20</v>
      </c>
      <c r="D31">
        <v>50</v>
      </c>
      <c r="E31">
        <v>1</v>
      </c>
    </row>
    <row r="32" spans="1:5" x14ac:dyDescent="0.25">
      <c r="A32" t="s">
        <v>341</v>
      </c>
      <c r="B32" t="s">
        <v>342</v>
      </c>
      <c r="C32" t="s">
        <v>17</v>
      </c>
      <c r="D32">
        <v>119</v>
      </c>
      <c r="E32">
        <v>4</v>
      </c>
    </row>
    <row r="33" spans="1:5" x14ac:dyDescent="0.25">
      <c r="A33" t="s">
        <v>346</v>
      </c>
      <c r="B33" t="s">
        <v>347</v>
      </c>
      <c r="C33" t="s">
        <v>17</v>
      </c>
      <c r="D33">
        <v>49</v>
      </c>
      <c r="E33">
        <v>3</v>
      </c>
    </row>
    <row r="34" spans="1:5" x14ac:dyDescent="0.25">
      <c r="A34" t="s">
        <v>271</v>
      </c>
      <c r="B34" t="s">
        <v>272</v>
      </c>
      <c r="C34" t="s">
        <v>17</v>
      </c>
      <c r="D34">
        <v>272</v>
      </c>
      <c r="E34">
        <v>3</v>
      </c>
    </row>
    <row r="35" spans="1:5" x14ac:dyDescent="0.25">
      <c r="A35" t="s">
        <v>273</v>
      </c>
      <c r="B35" t="s">
        <v>272</v>
      </c>
      <c r="C35" t="s">
        <v>20</v>
      </c>
      <c r="D35">
        <v>45</v>
      </c>
      <c r="E35">
        <v>2</v>
      </c>
    </row>
    <row r="36" spans="1:5" x14ac:dyDescent="0.25">
      <c r="A36" t="s">
        <v>510</v>
      </c>
      <c r="B36" t="s">
        <v>510</v>
      </c>
      <c r="C36" t="s">
        <v>894</v>
      </c>
      <c r="D36">
        <v>161</v>
      </c>
      <c r="E36">
        <v>1</v>
      </c>
    </row>
    <row r="37" spans="1:5" x14ac:dyDescent="0.25">
      <c r="A37" t="s">
        <v>60</v>
      </c>
      <c r="B37" t="s">
        <v>61</v>
      </c>
      <c r="C37" t="s">
        <v>17</v>
      </c>
      <c r="D37">
        <v>72</v>
      </c>
      <c r="E37">
        <v>1</v>
      </c>
    </row>
    <row r="38" spans="1:5" x14ac:dyDescent="0.25">
      <c r="A38" t="s">
        <v>165</v>
      </c>
      <c r="B38" t="s">
        <v>166</v>
      </c>
      <c r="C38" t="s">
        <v>17</v>
      </c>
      <c r="D38">
        <v>656</v>
      </c>
      <c r="E38">
        <v>5</v>
      </c>
    </row>
    <row r="39" spans="1:5" x14ac:dyDescent="0.25">
      <c r="A39" t="s">
        <v>167</v>
      </c>
      <c r="B39" t="s">
        <v>166</v>
      </c>
      <c r="C39" t="s">
        <v>20</v>
      </c>
      <c r="D39">
        <v>102</v>
      </c>
      <c r="E39">
        <v>3</v>
      </c>
    </row>
    <row r="40" spans="1:5" x14ac:dyDescent="0.25">
      <c r="A40" t="s">
        <v>135</v>
      </c>
      <c r="B40" t="s">
        <v>136</v>
      </c>
      <c r="C40" t="s">
        <v>17</v>
      </c>
      <c r="D40">
        <v>7</v>
      </c>
      <c r="E40">
        <v>1</v>
      </c>
    </row>
    <row r="41" spans="1:5" x14ac:dyDescent="0.25">
      <c r="A41" t="s">
        <v>137</v>
      </c>
      <c r="B41" t="s">
        <v>136</v>
      </c>
      <c r="C41" t="s">
        <v>20</v>
      </c>
      <c r="D41">
        <v>8</v>
      </c>
      <c r="E41">
        <v>1</v>
      </c>
    </row>
    <row r="42" spans="1:5" x14ac:dyDescent="0.25">
      <c r="A42" t="s">
        <v>230</v>
      </c>
      <c r="B42" t="s">
        <v>231</v>
      </c>
      <c r="C42" t="s">
        <v>17</v>
      </c>
      <c r="D42">
        <v>170</v>
      </c>
      <c r="E42">
        <v>3</v>
      </c>
    </row>
    <row r="43" spans="1:5" x14ac:dyDescent="0.25">
      <c r="A43" t="s">
        <v>232</v>
      </c>
      <c r="B43" t="s">
        <v>231</v>
      </c>
      <c r="C43" t="s">
        <v>20</v>
      </c>
      <c r="D43">
        <v>75</v>
      </c>
      <c r="E43">
        <v>1</v>
      </c>
    </row>
    <row r="44" spans="1:5" x14ac:dyDescent="0.25">
      <c r="A44" t="s">
        <v>125</v>
      </c>
      <c r="B44" t="s">
        <v>126</v>
      </c>
      <c r="C44" t="s">
        <v>17</v>
      </c>
      <c r="D44">
        <v>5</v>
      </c>
      <c r="E44">
        <v>1</v>
      </c>
    </row>
    <row r="45" spans="1:5" x14ac:dyDescent="0.25">
      <c r="A45" t="s">
        <v>120</v>
      </c>
      <c r="B45" t="s">
        <v>121</v>
      </c>
      <c r="C45" t="s">
        <v>17</v>
      </c>
      <c r="D45">
        <v>65</v>
      </c>
      <c r="E45">
        <v>2</v>
      </c>
    </row>
    <row r="46" spans="1:5" x14ac:dyDescent="0.25">
      <c r="A46" t="s">
        <v>70</v>
      </c>
      <c r="B46" t="s">
        <v>71</v>
      </c>
      <c r="C46" t="s">
        <v>17</v>
      </c>
      <c r="D46">
        <v>30</v>
      </c>
      <c r="E46">
        <v>1</v>
      </c>
    </row>
    <row r="47" spans="1:5" x14ac:dyDescent="0.25">
      <c r="A47" t="s">
        <v>72</v>
      </c>
      <c r="B47" t="s">
        <v>71</v>
      </c>
      <c r="C47" t="s">
        <v>20</v>
      </c>
      <c r="D47">
        <v>35</v>
      </c>
      <c r="E47">
        <v>1</v>
      </c>
    </row>
    <row r="48" spans="1:5" x14ac:dyDescent="0.25">
      <c r="A48" t="s">
        <v>110</v>
      </c>
      <c r="B48" t="s">
        <v>111</v>
      </c>
      <c r="C48" t="s">
        <v>17</v>
      </c>
      <c r="D48">
        <v>168</v>
      </c>
      <c r="E48">
        <v>1</v>
      </c>
    </row>
    <row r="49" spans="1:5" x14ac:dyDescent="0.25">
      <c r="A49" t="s">
        <v>75</v>
      </c>
      <c r="B49" t="s">
        <v>76</v>
      </c>
      <c r="C49" t="s">
        <v>17</v>
      </c>
      <c r="D49">
        <v>233</v>
      </c>
      <c r="E49">
        <v>4</v>
      </c>
    </row>
    <row r="50" spans="1:5" x14ac:dyDescent="0.25">
      <c r="A50" t="s">
        <v>25</v>
      </c>
      <c r="B50" t="s">
        <v>26</v>
      </c>
      <c r="C50" t="s">
        <v>17</v>
      </c>
      <c r="D50">
        <v>853</v>
      </c>
      <c r="E50">
        <v>7</v>
      </c>
    </row>
    <row r="51" spans="1:5" x14ac:dyDescent="0.25">
      <c r="A51" t="s">
        <v>29</v>
      </c>
      <c r="B51" t="s">
        <v>26</v>
      </c>
      <c r="C51" t="s">
        <v>24</v>
      </c>
      <c r="D51">
        <v>40</v>
      </c>
      <c r="E51">
        <v>1</v>
      </c>
    </row>
    <row r="52" spans="1:5" x14ac:dyDescent="0.25">
      <c r="A52" t="s">
        <v>27</v>
      </c>
      <c r="B52" t="s">
        <v>26</v>
      </c>
      <c r="C52" t="s">
        <v>20</v>
      </c>
      <c r="D52">
        <v>216</v>
      </c>
      <c r="E52">
        <v>4</v>
      </c>
    </row>
    <row r="53" spans="1:5" x14ac:dyDescent="0.25">
      <c r="A53" t="s">
        <v>190</v>
      </c>
      <c r="B53" t="s">
        <v>191</v>
      </c>
      <c r="C53" t="s">
        <v>17</v>
      </c>
      <c r="D53">
        <v>322</v>
      </c>
      <c r="E53">
        <v>1</v>
      </c>
    </row>
    <row r="54" spans="1:5" x14ac:dyDescent="0.25">
      <c r="A54" t="s">
        <v>245</v>
      </c>
      <c r="B54" t="s">
        <v>246</v>
      </c>
      <c r="C54" t="s">
        <v>17</v>
      </c>
      <c r="D54">
        <v>38</v>
      </c>
      <c r="E54">
        <v>1</v>
      </c>
    </row>
    <row r="55" spans="1:5" x14ac:dyDescent="0.25">
      <c r="A55" t="s">
        <v>255</v>
      </c>
      <c r="B55" t="s">
        <v>256</v>
      </c>
      <c r="C55" t="s">
        <v>17</v>
      </c>
      <c r="D55">
        <v>453</v>
      </c>
      <c r="E55">
        <v>7</v>
      </c>
    </row>
    <row r="56" spans="1:5" x14ac:dyDescent="0.25">
      <c r="A56" t="s">
        <v>30</v>
      </c>
      <c r="B56" t="s">
        <v>31</v>
      </c>
      <c r="C56" t="s">
        <v>17</v>
      </c>
      <c r="D56">
        <v>1716</v>
      </c>
      <c r="E56">
        <v>8</v>
      </c>
    </row>
    <row r="57" spans="1:5" x14ac:dyDescent="0.25">
      <c r="A57" t="s">
        <v>34</v>
      </c>
      <c r="B57" t="s">
        <v>31</v>
      </c>
      <c r="C57" t="s">
        <v>24</v>
      </c>
      <c r="D57">
        <v>36</v>
      </c>
      <c r="E57">
        <v>1</v>
      </c>
    </row>
    <row r="58" spans="1:5" x14ac:dyDescent="0.25">
      <c r="A58" t="s">
        <v>32</v>
      </c>
      <c r="B58" t="s">
        <v>31</v>
      </c>
      <c r="C58" t="s">
        <v>20</v>
      </c>
      <c r="D58">
        <v>224</v>
      </c>
      <c r="E58">
        <v>4</v>
      </c>
    </row>
    <row r="59" spans="1:5" x14ac:dyDescent="0.25">
      <c r="A59" t="s">
        <v>35</v>
      </c>
      <c r="B59" t="s">
        <v>36</v>
      </c>
      <c r="C59" t="s">
        <v>17</v>
      </c>
      <c r="D59">
        <v>281</v>
      </c>
      <c r="E59">
        <v>3</v>
      </c>
    </row>
    <row r="60" spans="1:5" x14ac:dyDescent="0.25">
      <c r="A60" t="s">
        <v>37</v>
      </c>
      <c r="B60" t="s">
        <v>36</v>
      </c>
      <c r="C60" t="s">
        <v>20</v>
      </c>
      <c r="D60">
        <v>362</v>
      </c>
      <c r="E60">
        <v>6</v>
      </c>
    </row>
    <row r="61" spans="1:5" x14ac:dyDescent="0.25">
      <c r="A61" t="s">
        <v>220</v>
      </c>
      <c r="B61" t="s">
        <v>221</v>
      </c>
      <c r="C61" t="s">
        <v>17</v>
      </c>
      <c r="D61">
        <v>73</v>
      </c>
      <c r="E61">
        <v>1</v>
      </c>
    </row>
    <row r="62" spans="1:5" x14ac:dyDescent="0.25">
      <c r="A62" t="s">
        <v>115</v>
      </c>
      <c r="B62" t="s">
        <v>116</v>
      </c>
      <c r="C62" t="s">
        <v>17</v>
      </c>
      <c r="D62">
        <v>454</v>
      </c>
      <c r="E62">
        <v>4</v>
      </c>
    </row>
    <row r="63" spans="1:5" x14ac:dyDescent="0.25">
      <c r="A63" t="s">
        <v>117</v>
      </c>
      <c r="B63" t="s">
        <v>116</v>
      </c>
      <c r="C63" t="s">
        <v>20</v>
      </c>
      <c r="D63">
        <v>5</v>
      </c>
      <c r="E63">
        <v>1</v>
      </c>
    </row>
    <row r="64" spans="1:5" x14ac:dyDescent="0.25">
      <c r="A64" t="s">
        <v>50</v>
      </c>
      <c r="B64" t="s">
        <v>51</v>
      </c>
      <c r="C64" t="s">
        <v>17</v>
      </c>
      <c r="D64">
        <v>16</v>
      </c>
      <c r="E64">
        <v>1</v>
      </c>
    </row>
    <row r="65" spans="1:5" x14ac:dyDescent="0.25">
      <c r="A65" t="s">
        <v>52</v>
      </c>
      <c r="B65" t="s">
        <v>51</v>
      </c>
      <c r="C65" t="s">
        <v>20</v>
      </c>
      <c r="D65">
        <v>170</v>
      </c>
      <c r="E65">
        <v>1</v>
      </c>
    </row>
    <row r="66" spans="1:5" x14ac:dyDescent="0.25">
      <c r="A66" t="s">
        <v>55</v>
      </c>
      <c r="B66" t="s">
        <v>56</v>
      </c>
      <c r="C66" t="s">
        <v>17</v>
      </c>
      <c r="D66">
        <v>207</v>
      </c>
      <c r="E66">
        <v>3</v>
      </c>
    </row>
    <row r="67" spans="1:5" x14ac:dyDescent="0.25">
      <c r="A67" t="s">
        <v>57</v>
      </c>
      <c r="B67" t="s">
        <v>56</v>
      </c>
      <c r="C67" t="s">
        <v>20</v>
      </c>
      <c r="D67">
        <v>25</v>
      </c>
      <c r="E67">
        <v>1</v>
      </c>
    </row>
    <row r="68" spans="1:5" x14ac:dyDescent="0.25">
      <c r="A68" t="s">
        <v>82</v>
      </c>
      <c r="B68" t="s">
        <v>81</v>
      </c>
      <c r="C68" t="s">
        <v>20</v>
      </c>
      <c r="D68">
        <v>152</v>
      </c>
      <c r="E68">
        <v>2</v>
      </c>
    </row>
    <row r="69" spans="1:5" x14ac:dyDescent="0.25">
      <c r="A69" t="s">
        <v>15</v>
      </c>
      <c r="B69" t="s">
        <v>16</v>
      </c>
      <c r="C69" t="s">
        <v>17</v>
      </c>
      <c r="D69">
        <v>66</v>
      </c>
      <c r="E69">
        <v>2</v>
      </c>
    </row>
    <row r="70" spans="1:5" x14ac:dyDescent="0.25">
      <c r="A70" t="s">
        <v>19</v>
      </c>
      <c r="B70" t="s">
        <v>16</v>
      </c>
      <c r="C70" t="s">
        <v>20</v>
      </c>
      <c r="D70">
        <v>136</v>
      </c>
      <c r="E70">
        <v>3</v>
      </c>
    </row>
    <row r="71" spans="1:5" x14ac:dyDescent="0.25">
      <c r="A71" t="s">
        <v>173</v>
      </c>
      <c r="B71" t="s">
        <v>171</v>
      </c>
      <c r="C71" t="s">
        <v>22</v>
      </c>
      <c r="D71">
        <v>1200</v>
      </c>
      <c r="E71">
        <v>1</v>
      </c>
    </row>
    <row r="72" spans="1:5" x14ac:dyDescent="0.25">
      <c r="A72" t="s">
        <v>100</v>
      </c>
      <c r="B72" t="s">
        <v>101</v>
      </c>
      <c r="C72" t="s">
        <v>17</v>
      </c>
      <c r="D72">
        <v>80</v>
      </c>
      <c r="E72">
        <v>3</v>
      </c>
    </row>
    <row r="73" spans="1:5" x14ac:dyDescent="0.25">
      <c r="A73" t="s">
        <v>95</v>
      </c>
      <c r="B73" t="s">
        <v>96</v>
      </c>
      <c r="C73" t="s">
        <v>17</v>
      </c>
      <c r="D73">
        <v>40</v>
      </c>
      <c r="E73">
        <v>2</v>
      </c>
    </row>
    <row r="74" spans="1:5" x14ac:dyDescent="0.25">
      <c r="A74" t="s">
        <v>87</v>
      </c>
      <c r="B74" t="s">
        <v>86</v>
      </c>
      <c r="C74" t="s">
        <v>20</v>
      </c>
      <c r="D74">
        <v>101</v>
      </c>
      <c r="E74">
        <v>1</v>
      </c>
    </row>
    <row r="75" spans="1:5" x14ac:dyDescent="0.25">
      <c r="A75" t="s">
        <v>45</v>
      </c>
      <c r="B75" t="s">
        <v>46</v>
      </c>
      <c r="C75" t="s">
        <v>17</v>
      </c>
      <c r="D75">
        <v>409</v>
      </c>
      <c r="E75">
        <v>4</v>
      </c>
    </row>
    <row r="76" spans="1:5" x14ac:dyDescent="0.25">
      <c r="A76" t="s">
        <v>49</v>
      </c>
      <c r="B76" t="s">
        <v>46</v>
      </c>
      <c r="C76" t="s">
        <v>24</v>
      </c>
      <c r="D76">
        <v>31</v>
      </c>
      <c r="E76">
        <v>1</v>
      </c>
    </row>
    <row r="77" spans="1:5" x14ac:dyDescent="0.25">
      <c r="A77" t="s">
        <v>47</v>
      </c>
      <c r="B77" t="s">
        <v>46</v>
      </c>
      <c r="C77" t="s">
        <v>20</v>
      </c>
      <c r="D77">
        <v>81</v>
      </c>
      <c r="E77">
        <v>3</v>
      </c>
    </row>
    <row r="78" spans="1:5" x14ac:dyDescent="0.25">
      <c r="A78" t="s">
        <v>415</v>
      </c>
      <c r="B78" t="s">
        <v>415</v>
      </c>
      <c r="C78" t="s">
        <v>894</v>
      </c>
      <c r="D78">
        <v>199</v>
      </c>
      <c r="E78">
        <v>4</v>
      </c>
    </row>
    <row r="79" spans="1:5" x14ac:dyDescent="0.25">
      <c r="A79" t="s">
        <v>420</v>
      </c>
      <c r="B79" t="s">
        <v>420</v>
      </c>
      <c r="C79" t="s">
        <v>894</v>
      </c>
      <c r="D79">
        <v>141</v>
      </c>
      <c r="E79">
        <v>2</v>
      </c>
    </row>
    <row r="80" spans="1:5" x14ac:dyDescent="0.25">
      <c r="A80" t="s">
        <v>419</v>
      </c>
      <c r="B80" t="s">
        <v>419</v>
      </c>
      <c r="C80" t="s">
        <v>894</v>
      </c>
      <c r="D80">
        <v>112</v>
      </c>
      <c r="E80">
        <v>1</v>
      </c>
    </row>
    <row r="81" spans="1:5" x14ac:dyDescent="0.25">
      <c r="A81" t="s">
        <v>417</v>
      </c>
      <c r="B81" t="s">
        <v>417</v>
      </c>
      <c r="C81" t="s">
        <v>894</v>
      </c>
      <c r="D81">
        <v>298</v>
      </c>
      <c r="E81">
        <v>4</v>
      </c>
    </row>
    <row r="82" spans="1:5" x14ac:dyDescent="0.25">
      <c r="A82" t="s">
        <v>411</v>
      </c>
      <c r="B82" t="s">
        <v>411</v>
      </c>
      <c r="C82" t="s">
        <v>894</v>
      </c>
      <c r="D82">
        <v>128</v>
      </c>
      <c r="E82">
        <v>1</v>
      </c>
    </row>
    <row r="83" spans="1:5" x14ac:dyDescent="0.25">
      <c r="A83" t="s">
        <v>418</v>
      </c>
      <c r="B83" t="s">
        <v>418</v>
      </c>
      <c r="C83" t="s">
        <v>894</v>
      </c>
      <c r="D83">
        <v>460</v>
      </c>
      <c r="E83">
        <v>3</v>
      </c>
    </row>
    <row r="84" spans="1:5" x14ac:dyDescent="0.25">
      <c r="A84" t="s">
        <v>416</v>
      </c>
      <c r="B84" t="s">
        <v>416</v>
      </c>
      <c r="C84" t="s">
        <v>894</v>
      </c>
      <c r="D84">
        <v>9</v>
      </c>
      <c r="E84">
        <v>1</v>
      </c>
    </row>
    <row r="85" spans="1:5" x14ac:dyDescent="0.25">
      <c r="A85" t="s">
        <v>421</v>
      </c>
      <c r="B85" t="s">
        <v>421</v>
      </c>
      <c r="C85" t="s">
        <v>894</v>
      </c>
      <c r="D85">
        <v>493</v>
      </c>
      <c r="E85">
        <v>5</v>
      </c>
    </row>
    <row r="86" spans="1:5" x14ac:dyDescent="0.25">
      <c r="A86" t="s">
        <v>471</v>
      </c>
      <c r="B86" t="s">
        <v>471</v>
      </c>
      <c r="C86" t="s">
        <v>894</v>
      </c>
      <c r="D86">
        <v>2286</v>
      </c>
      <c r="E86">
        <v>1</v>
      </c>
    </row>
    <row r="87" spans="1:5" x14ac:dyDescent="0.25">
      <c r="A87" t="s">
        <v>438</v>
      </c>
      <c r="B87" t="s">
        <v>438</v>
      </c>
      <c r="C87" t="s">
        <v>894</v>
      </c>
      <c r="D87">
        <v>2252</v>
      </c>
      <c r="E87">
        <v>5</v>
      </c>
    </row>
    <row r="88" spans="1:5" x14ac:dyDescent="0.25">
      <c r="A88" t="s">
        <v>439</v>
      </c>
      <c r="B88" t="s">
        <v>439</v>
      </c>
      <c r="C88" t="s">
        <v>894</v>
      </c>
      <c r="D88">
        <v>706</v>
      </c>
      <c r="E88">
        <v>5</v>
      </c>
    </row>
    <row r="89" spans="1:5" x14ac:dyDescent="0.25">
      <c r="A89" t="s">
        <v>436</v>
      </c>
      <c r="B89" t="s">
        <v>436</v>
      </c>
      <c r="C89" t="s">
        <v>894</v>
      </c>
      <c r="D89">
        <v>273</v>
      </c>
      <c r="E89">
        <v>5</v>
      </c>
    </row>
    <row r="90" spans="1:5" x14ac:dyDescent="0.25">
      <c r="A90" t="s">
        <v>435</v>
      </c>
      <c r="B90" t="s">
        <v>435</v>
      </c>
      <c r="C90" t="s">
        <v>894</v>
      </c>
      <c r="D90">
        <v>75</v>
      </c>
      <c r="E90">
        <v>2</v>
      </c>
    </row>
    <row r="91" spans="1:5" x14ac:dyDescent="0.25">
      <c r="A91" t="s">
        <v>434</v>
      </c>
      <c r="B91" t="s">
        <v>434</v>
      </c>
      <c r="C91" t="s">
        <v>894</v>
      </c>
      <c r="D91">
        <v>54</v>
      </c>
      <c r="E91">
        <v>1</v>
      </c>
    </row>
    <row r="92" spans="1:5" x14ac:dyDescent="0.25">
      <c r="A92" t="s">
        <v>441</v>
      </c>
      <c r="B92" t="s">
        <v>441</v>
      </c>
      <c r="C92" t="s">
        <v>894</v>
      </c>
      <c r="D92">
        <v>815</v>
      </c>
      <c r="E92">
        <v>2</v>
      </c>
    </row>
    <row r="93" spans="1:5" x14ac:dyDescent="0.25">
      <c r="A93" t="s">
        <v>433</v>
      </c>
      <c r="B93" t="s">
        <v>433</v>
      </c>
      <c r="C93" t="s">
        <v>894</v>
      </c>
      <c r="D93">
        <v>1644</v>
      </c>
      <c r="E93">
        <v>1</v>
      </c>
    </row>
    <row r="94" spans="1:5" x14ac:dyDescent="0.25">
      <c r="A94" t="s">
        <v>406</v>
      </c>
      <c r="B94" t="s">
        <v>406</v>
      </c>
      <c r="C94" t="s">
        <v>894</v>
      </c>
      <c r="D94">
        <v>226</v>
      </c>
      <c r="E94">
        <v>1</v>
      </c>
    </row>
    <row r="95" spans="1:5" x14ac:dyDescent="0.25">
      <c r="A95" t="s">
        <v>388</v>
      </c>
      <c r="B95" t="s">
        <v>388</v>
      </c>
      <c r="C95" t="s">
        <v>894</v>
      </c>
      <c r="D95">
        <v>1125</v>
      </c>
      <c r="E95">
        <v>2</v>
      </c>
    </row>
    <row r="96" spans="1:5" x14ac:dyDescent="0.25">
      <c r="A96" t="s">
        <v>401</v>
      </c>
      <c r="B96" t="s">
        <v>401</v>
      </c>
      <c r="C96" t="s">
        <v>894</v>
      </c>
      <c r="D96">
        <v>91</v>
      </c>
      <c r="E96">
        <v>1</v>
      </c>
    </row>
    <row r="97" spans="1:5" x14ac:dyDescent="0.25">
      <c r="A97" t="s">
        <v>407</v>
      </c>
      <c r="B97" t="s">
        <v>407</v>
      </c>
      <c r="C97" t="s">
        <v>894</v>
      </c>
      <c r="D97">
        <v>119</v>
      </c>
      <c r="E97">
        <v>2</v>
      </c>
    </row>
    <row r="98" spans="1:5" x14ac:dyDescent="0.25">
      <c r="A98" t="s">
        <v>403</v>
      </c>
      <c r="B98" t="s">
        <v>403</v>
      </c>
      <c r="C98" t="s">
        <v>894</v>
      </c>
      <c r="D98">
        <v>21</v>
      </c>
      <c r="E98">
        <v>1</v>
      </c>
    </row>
    <row r="99" spans="1:5" x14ac:dyDescent="0.25">
      <c r="A99" t="s">
        <v>408</v>
      </c>
      <c r="B99" t="s">
        <v>408</v>
      </c>
      <c r="C99" t="s">
        <v>894</v>
      </c>
      <c r="D99">
        <v>22</v>
      </c>
      <c r="E99">
        <v>1</v>
      </c>
    </row>
    <row r="100" spans="1:5" x14ac:dyDescent="0.25">
      <c r="A100" t="s">
        <v>409</v>
      </c>
      <c r="B100" t="s">
        <v>409</v>
      </c>
      <c r="C100" t="s">
        <v>894</v>
      </c>
      <c r="D100">
        <v>220</v>
      </c>
      <c r="E100">
        <v>2</v>
      </c>
    </row>
    <row r="101" spans="1:5" x14ac:dyDescent="0.25">
      <c r="A101" t="s">
        <v>391</v>
      </c>
      <c r="B101" t="s">
        <v>391</v>
      </c>
      <c r="C101" t="s">
        <v>894</v>
      </c>
      <c r="D101">
        <v>376</v>
      </c>
      <c r="E101">
        <v>4</v>
      </c>
    </row>
    <row r="102" spans="1:5" x14ac:dyDescent="0.25">
      <c r="A102" t="s">
        <v>398</v>
      </c>
      <c r="B102" t="s">
        <v>398</v>
      </c>
      <c r="C102" t="s">
        <v>894</v>
      </c>
      <c r="D102">
        <v>27</v>
      </c>
      <c r="E102">
        <v>1</v>
      </c>
    </row>
    <row r="103" spans="1:5" x14ac:dyDescent="0.25">
      <c r="A103" t="s">
        <v>395</v>
      </c>
      <c r="B103" t="s">
        <v>395</v>
      </c>
      <c r="C103" t="s">
        <v>894</v>
      </c>
      <c r="D103">
        <v>42</v>
      </c>
      <c r="E103">
        <v>2</v>
      </c>
    </row>
    <row r="104" spans="1:5" x14ac:dyDescent="0.25">
      <c r="A104" t="s">
        <v>405</v>
      </c>
      <c r="B104" t="s">
        <v>405</v>
      </c>
      <c r="C104" t="s">
        <v>894</v>
      </c>
      <c r="D104">
        <v>250</v>
      </c>
      <c r="E104">
        <v>1</v>
      </c>
    </row>
    <row r="105" spans="1:5" x14ac:dyDescent="0.25">
      <c r="A105" t="s">
        <v>392</v>
      </c>
      <c r="B105" t="s">
        <v>392</v>
      </c>
      <c r="C105" t="s">
        <v>894</v>
      </c>
      <c r="D105">
        <v>146</v>
      </c>
      <c r="E105">
        <v>1</v>
      </c>
    </row>
    <row r="106" spans="1:5" x14ac:dyDescent="0.25">
      <c r="A106" t="s">
        <v>485</v>
      </c>
      <c r="B106" t="s">
        <v>485</v>
      </c>
      <c r="C106" t="s">
        <v>894</v>
      </c>
      <c r="D106">
        <v>102</v>
      </c>
      <c r="E106">
        <v>1</v>
      </c>
    </row>
    <row r="107" spans="1:5" x14ac:dyDescent="0.25">
      <c r="A107" t="s">
        <v>428</v>
      </c>
      <c r="B107" t="s">
        <v>428</v>
      </c>
      <c r="C107" t="s">
        <v>813</v>
      </c>
      <c r="D107">
        <v>416</v>
      </c>
      <c r="E107">
        <v>2</v>
      </c>
    </row>
    <row r="108" spans="1:5" x14ac:dyDescent="0.25">
      <c r="A108" t="s">
        <v>427</v>
      </c>
      <c r="B108" t="s">
        <v>427</v>
      </c>
      <c r="C108" t="s">
        <v>813</v>
      </c>
      <c r="D108">
        <v>406</v>
      </c>
      <c r="E108">
        <v>2</v>
      </c>
    </row>
    <row r="109" spans="1:5" x14ac:dyDescent="0.25">
      <c r="A109" t="s">
        <v>431</v>
      </c>
      <c r="B109" t="s">
        <v>431</v>
      </c>
      <c r="C109" t="s">
        <v>813</v>
      </c>
      <c r="D109">
        <v>27</v>
      </c>
      <c r="E109">
        <v>1</v>
      </c>
    </row>
    <row r="110" spans="1:5" x14ac:dyDescent="0.25">
      <c r="A110" t="s">
        <v>429</v>
      </c>
      <c r="B110" t="s">
        <v>429</v>
      </c>
      <c r="C110" t="s">
        <v>813</v>
      </c>
      <c r="D110">
        <v>294</v>
      </c>
      <c r="E110">
        <v>1</v>
      </c>
    </row>
    <row r="111" spans="1:5" x14ac:dyDescent="0.25">
      <c r="A111" t="s">
        <v>514</v>
      </c>
      <c r="B111" t="s">
        <v>514</v>
      </c>
      <c r="C111" t="s">
        <v>894</v>
      </c>
      <c r="D111">
        <v>6</v>
      </c>
      <c r="E111">
        <v>1</v>
      </c>
    </row>
    <row r="112" spans="1:5" x14ac:dyDescent="0.25">
      <c r="A112" t="s">
        <v>493</v>
      </c>
      <c r="B112" t="s">
        <v>493</v>
      </c>
      <c r="C112" t="s">
        <v>813</v>
      </c>
      <c r="D112">
        <v>306</v>
      </c>
      <c r="E112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9"/>
  <sheetViews>
    <sheetView zoomScaleNormal="100" workbookViewId="0">
      <selection activeCell="I141" sqref="I141"/>
    </sheetView>
  </sheetViews>
  <sheetFormatPr defaultColWidth="8.7109375" defaultRowHeight="15" x14ac:dyDescent="0.25"/>
  <cols>
    <col min="1" max="1" width="16" customWidth="1"/>
    <col min="2" max="2" width="11" customWidth="1"/>
    <col min="3" max="3" width="8" customWidth="1"/>
    <col min="4" max="4" width="10" customWidth="1"/>
    <col min="5" max="5" width="16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</v>
      </c>
      <c r="E1" s="1" t="s">
        <v>579</v>
      </c>
    </row>
    <row r="2" spans="1:5" x14ac:dyDescent="0.25">
      <c r="A2" t="s">
        <v>90</v>
      </c>
      <c r="B2" t="s">
        <v>91</v>
      </c>
      <c r="C2" t="s">
        <v>17</v>
      </c>
      <c r="D2" t="s">
        <v>18</v>
      </c>
      <c r="E2">
        <v>0</v>
      </c>
    </row>
    <row r="3" spans="1:5" x14ac:dyDescent="0.25">
      <c r="A3" t="s">
        <v>92</v>
      </c>
      <c r="B3" t="s">
        <v>91</v>
      </c>
      <c r="C3" t="s">
        <v>20</v>
      </c>
      <c r="D3" t="s">
        <v>18</v>
      </c>
      <c r="E3">
        <v>48</v>
      </c>
    </row>
    <row r="4" spans="1:5" x14ac:dyDescent="0.25">
      <c r="A4" t="s">
        <v>195</v>
      </c>
      <c r="B4" t="s">
        <v>196</v>
      </c>
      <c r="C4" t="s">
        <v>17</v>
      </c>
      <c r="D4" t="s">
        <v>18</v>
      </c>
      <c r="E4">
        <v>0</v>
      </c>
    </row>
    <row r="5" spans="1:5" x14ac:dyDescent="0.25">
      <c r="A5" t="s">
        <v>197</v>
      </c>
      <c r="B5" t="s">
        <v>196</v>
      </c>
      <c r="C5" t="s">
        <v>20</v>
      </c>
      <c r="D5" t="s">
        <v>18</v>
      </c>
      <c r="E5">
        <v>0</v>
      </c>
    </row>
    <row r="6" spans="1:5" x14ac:dyDescent="0.25">
      <c r="A6" t="s">
        <v>60</v>
      </c>
      <c r="B6" t="s">
        <v>61</v>
      </c>
      <c r="C6" t="s">
        <v>17</v>
      </c>
      <c r="D6" t="s">
        <v>18</v>
      </c>
      <c r="E6">
        <v>72</v>
      </c>
    </row>
    <row r="7" spans="1:5" x14ac:dyDescent="0.25">
      <c r="A7" t="s">
        <v>62</v>
      </c>
      <c r="B7" t="s">
        <v>61</v>
      </c>
      <c r="C7" t="s">
        <v>20</v>
      </c>
      <c r="D7" t="s">
        <v>18</v>
      </c>
      <c r="E7">
        <v>0</v>
      </c>
    </row>
    <row r="8" spans="1:5" x14ac:dyDescent="0.25">
      <c r="A8" t="s">
        <v>205</v>
      </c>
      <c r="B8" t="s">
        <v>206</v>
      </c>
      <c r="C8" t="s">
        <v>17</v>
      </c>
      <c r="D8" t="s">
        <v>18</v>
      </c>
      <c r="E8">
        <v>0</v>
      </c>
    </row>
    <row r="9" spans="1:5" x14ac:dyDescent="0.25">
      <c r="A9" t="s">
        <v>207</v>
      </c>
      <c r="B9" t="s">
        <v>206</v>
      </c>
      <c r="C9" t="s">
        <v>20</v>
      </c>
      <c r="D9" t="s">
        <v>18</v>
      </c>
      <c r="E9">
        <v>0</v>
      </c>
    </row>
    <row r="10" spans="1:5" x14ac:dyDescent="0.25">
      <c r="A10" t="s">
        <v>165</v>
      </c>
      <c r="B10" t="s">
        <v>166</v>
      </c>
      <c r="C10" t="s">
        <v>17</v>
      </c>
      <c r="D10" t="s">
        <v>18</v>
      </c>
      <c r="E10">
        <v>656</v>
      </c>
    </row>
    <row r="11" spans="1:5" x14ac:dyDescent="0.25">
      <c r="A11" t="s">
        <v>167</v>
      </c>
      <c r="B11" t="s">
        <v>166</v>
      </c>
      <c r="C11" t="s">
        <v>20</v>
      </c>
      <c r="D11" t="s">
        <v>18</v>
      </c>
      <c r="E11">
        <v>102</v>
      </c>
    </row>
    <row r="12" spans="1:5" x14ac:dyDescent="0.25">
      <c r="A12" t="s">
        <v>105</v>
      </c>
      <c r="B12" t="s">
        <v>106</v>
      </c>
      <c r="C12" t="s">
        <v>17</v>
      </c>
      <c r="D12" t="s">
        <v>18</v>
      </c>
      <c r="E12">
        <v>0</v>
      </c>
    </row>
    <row r="13" spans="1:5" x14ac:dyDescent="0.25">
      <c r="A13" t="s">
        <v>107</v>
      </c>
      <c r="B13" t="s">
        <v>106</v>
      </c>
      <c r="C13" t="s">
        <v>20</v>
      </c>
      <c r="D13" t="s">
        <v>18</v>
      </c>
      <c r="E13">
        <v>0</v>
      </c>
    </row>
    <row r="14" spans="1:5" x14ac:dyDescent="0.25">
      <c r="A14" t="s">
        <v>145</v>
      </c>
      <c r="B14" t="s">
        <v>146</v>
      </c>
      <c r="C14" t="s">
        <v>17</v>
      </c>
      <c r="D14" t="s">
        <v>18</v>
      </c>
      <c r="E14">
        <v>0</v>
      </c>
    </row>
    <row r="15" spans="1:5" x14ac:dyDescent="0.25">
      <c r="A15" t="s">
        <v>147</v>
      </c>
      <c r="B15" t="s">
        <v>146</v>
      </c>
      <c r="C15" t="s">
        <v>20</v>
      </c>
      <c r="D15" t="s">
        <v>18</v>
      </c>
      <c r="E15">
        <v>0</v>
      </c>
    </row>
    <row r="16" spans="1:5" x14ac:dyDescent="0.25">
      <c r="A16" t="s">
        <v>150</v>
      </c>
      <c r="B16" t="s">
        <v>151</v>
      </c>
      <c r="C16" t="s">
        <v>17</v>
      </c>
      <c r="D16" t="s">
        <v>18</v>
      </c>
      <c r="E16">
        <v>0</v>
      </c>
    </row>
    <row r="17" spans="1:5" x14ac:dyDescent="0.25">
      <c r="A17" t="s">
        <v>152</v>
      </c>
      <c r="B17" t="s">
        <v>151</v>
      </c>
      <c r="C17" t="s">
        <v>20</v>
      </c>
      <c r="D17" t="s">
        <v>18</v>
      </c>
      <c r="E17">
        <v>0</v>
      </c>
    </row>
    <row r="18" spans="1:5" x14ac:dyDescent="0.25">
      <c r="A18" t="s">
        <v>130</v>
      </c>
      <c r="B18" t="s">
        <v>131</v>
      </c>
      <c r="C18" t="s">
        <v>17</v>
      </c>
      <c r="D18" t="s">
        <v>18</v>
      </c>
      <c r="E18">
        <v>0</v>
      </c>
    </row>
    <row r="19" spans="1:5" x14ac:dyDescent="0.25">
      <c r="A19" t="s">
        <v>132</v>
      </c>
      <c r="B19" t="s">
        <v>131</v>
      </c>
      <c r="C19" t="s">
        <v>20</v>
      </c>
      <c r="D19" t="s">
        <v>18</v>
      </c>
      <c r="E19">
        <v>0</v>
      </c>
    </row>
    <row r="20" spans="1:5" x14ac:dyDescent="0.25">
      <c r="A20" t="s">
        <v>135</v>
      </c>
      <c r="B20" t="s">
        <v>136</v>
      </c>
      <c r="C20" t="s">
        <v>17</v>
      </c>
      <c r="D20" t="s">
        <v>18</v>
      </c>
      <c r="E20">
        <v>7</v>
      </c>
    </row>
    <row r="21" spans="1:5" x14ac:dyDescent="0.25">
      <c r="A21" t="s">
        <v>137</v>
      </c>
      <c r="B21" t="s">
        <v>136</v>
      </c>
      <c r="C21" t="s">
        <v>20</v>
      </c>
      <c r="D21" t="s">
        <v>18</v>
      </c>
      <c r="E21">
        <v>8</v>
      </c>
    </row>
    <row r="22" spans="1:5" x14ac:dyDescent="0.25">
      <c r="A22" t="s">
        <v>140</v>
      </c>
      <c r="B22" t="s">
        <v>141</v>
      </c>
      <c r="C22" t="s">
        <v>17</v>
      </c>
      <c r="D22" t="s">
        <v>18</v>
      </c>
      <c r="E22">
        <v>0</v>
      </c>
    </row>
    <row r="23" spans="1:5" x14ac:dyDescent="0.25">
      <c r="A23" t="s">
        <v>142</v>
      </c>
      <c r="B23" t="s">
        <v>141</v>
      </c>
      <c r="C23" t="s">
        <v>20</v>
      </c>
      <c r="D23" t="s">
        <v>18</v>
      </c>
      <c r="E23">
        <v>0</v>
      </c>
    </row>
    <row r="24" spans="1:5" x14ac:dyDescent="0.25">
      <c r="A24" t="s">
        <v>230</v>
      </c>
      <c r="B24" t="s">
        <v>231</v>
      </c>
      <c r="C24" t="s">
        <v>17</v>
      </c>
      <c r="D24" t="s">
        <v>18</v>
      </c>
      <c r="E24">
        <v>170</v>
      </c>
    </row>
    <row r="25" spans="1:5" x14ac:dyDescent="0.25">
      <c r="A25" t="s">
        <v>232</v>
      </c>
      <c r="B25" t="s">
        <v>231</v>
      </c>
      <c r="C25" t="s">
        <v>20</v>
      </c>
      <c r="D25" t="s">
        <v>18</v>
      </c>
      <c r="E25">
        <v>75</v>
      </c>
    </row>
    <row r="26" spans="1:5" x14ac:dyDescent="0.25">
      <c r="A26" t="s">
        <v>125</v>
      </c>
      <c r="B26" t="s">
        <v>126</v>
      </c>
      <c r="C26" t="s">
        <v>17</v>
      </c>
      <c r="D26" t="s">
        <v>18</v>
      </c>
      <c r="E26">
        <v>5</v>
      </c>
    </row>
    <row r="27" spans="1:5" x14ac:dyDescent="0.25">
      <c r="A27" t="s">
        <v>127</v>
      </c>
      <c r="B27" t="s">
        <v>126</v>
      </c>
      <c r="C27" t="s">
        <v>20</v>
      </c>
      <c r="D27" t="s">
        <v>18</v>
      </c>
      <c r="E27">
        <v>0</v>
      </c>
    </row>
    <row r="28" spans="1:5" x14ac:dyDescent="0.25">
      <c r="A28" t="s">
        <v>160</v>
      </c>
      <c r="B28" t="s">
        <v>161</v>
      </c>
      <c r="C28" t="s">
        <v>17</v>
      </c>
      <c r="D28" t="s">
        <v>18</v>
      </c>
      <c r="E28">
        <v>0</v>
      </c>
    </row>
    <row r="29" spans="1:5" x14ac:dyDescent="0.25">
      <c r="A29" t="s">
        <v>162</v>
      </c>
      <c r="B29" t="s">
        <v>161</v>
      </c>
      <c r="C29" t="s">
        <v>20</v>
      </c>
      <c r="D29" t="s">
        <v>18</v>
      </c>
      <c r="E29">
        <v>0</v>
      </c>
    </row>
    <row r="30" spans="1:5" x14ac:dyDescent="0.25">
      <c r="A30" t="s">
        <v>120</v>
      </c>
      <c r="B30" t="s">
        <v>121</v>
      </c>
      <c r="C30" t="s">
        <v>17</v>
      </c>
      <c r="D30" t="s">
        <v>18</v>
      </c>
      <c r="E30">
        <v>65</v>
      </c>
    </row>
    <row r="31" spans="1:5" x14ac:dyDescent="0.25">
      <c r="A31" t="s">
        <v>122</v>
      </c>
      <c r="B31" t="s">
        <v>121</v>
      </c>
      <c r="C31" t="s">
        <v>20</v>
      </c>
      <c r="D31" t="s">
        <v>18</v>
      </c>
      <c r="E31">
        <v>0</v>
      </c>
    </row>
    <row r="32" spans="1:5" x14ac:dyDescent="0.25">
      <c r="A32" t="s">
        <v>210</v>
      </c>
      <c r="B32" t="s">
        <v>211</v>
      </c>
      <c r="C32" t="s">
        <v>17</v>
      </c>
      <c r="D32" t="s">
        <v>18</v>
      </c>
      <c r="E32">
        <v>0</v>
      </c>
    </row>
    <row r="33" spans="1:5" x14ac:dyDescent="0.25">
      <c r="A33" t="s">
        <v>212</v>
      </c>
      <c r="B33" t="s">
        <v>211</v>
      </c>
      <c r="C33" t="s">
        <v>20</v>
      </c>
      <c r="D33" t="s">
        <v>18</v>
      </c>
      <c r="E33">
        <v>0</v>
      </c>
    </row>
    <row r="34" spans="1:5" x14ac:dyDescent="0.25">
      <c r="A34" t="s">
        <v>250</v>
      </c>
      <c r="B34" t="s">
        <v>251</v>
      </c>
      <c r="C34" t="s">
        <v>17</v>
      </c>
      <c r="D34" t="s">
        <v>18</v>
      </c>
      <c r="E34">
        <v>0</v>
      </c>
    </row>
    <row r="35" spans="1:5" x14ac:dyDescent="0.25">
      <c r="A35" t="s">
        <v>252</v>
      </c>
      <c r="B35" t="s">
        <v>251</v>
      </c>
      <c r="C35" t="s">
        <v>20</v>
      </c>
      <c r="D35" t="s">
        <v>18</v>
      </c>
      <c r="E35">
        <v>0</v>
      </c>
    </row>
    <row r="36" spans="1:5" x14ac:dyDescent="0.25">
      <c r="A36" t="s">
        <v>70</v>
      </c>
      <c r="B36" t="s">
        <v>71</v>
      </c>
      <c r="C36" t="s">
        <v>17</v>
      </c>
      <c r="D36" t="s">
        <v>18</v>
      </c>
      <c r="E36">
        <v>30</v>
      </c>
    </row>
    <row r="37" spans="1:5" x14ac:dyDescent="0.25">
      <c r="A37" t="s">
        <v>72</v>
      </c>
      <c r="B37" t="s">
        <v>71</v>
      </c>
      <c r="C37" t="s">
        <v>20</v>
      </c>
      <c r="D37" t="s">
        <v>18</v>
      </c>
      <c r="E37">
        <v>35</v>
      </c>
    </row>
    <row r="38" spans="1:5" x14ac:dyDescent="0.25">
      <c r="A38" t="s">
        <v>110</v>
      </c>
      <c r="B38" t="s">
        <v>111</v>
      </c>
      <c r="C38" t="s">
        <v>17</v>
      </c>
      <c r="D38" t="s">
        <v>18</v>
      </c>
      <c r="E38">
        <v>168</v>
      </c>
    </row>
    <row r="39" spans="1:5" x14ac:dyDescent="0.25">
      <c r="A39" t="s">
        <v>112</v>
      </c>
      <c r="B39" t="s">
        <v>111</v>
      </c>
      <c r="C39" t="s">
        <v>20</v>
      </c>
      <c r="D39" t="s">
        <v>18</v>
      </c>
      <c r="E39">
        <v>0</v>
      </c>
    </row>
    <row r="40" spans="1:5" x14ac:dyDescent="0.25">
      <c r="A40" t="s">
        <v>75</v>
      </c>
      <c r="B40" t="s">
        <v>76</v>
      </c>
      <c r="C40" t="s">
        <v>17</v>
      </c>
      <c r="D40" t="s">
        <v>18</v>
      </c>
      <c r="E40">
        <v>233</v>
      </c>
    </row>
    <row r="41" spans="1:5" x14ac:dyDescent="0.25">
      <c r="A41" t="s">
        <v>77</v>
      </c>
      <c r="B41" t="s">
        <v>76</v>
      </c>
      <c r="C41" t="s">
        <v>20</v>
      </c>
      <c r="D41" t="s">
        <v>18</v>
      </c>
      <c r="E41">
        <v>0</v>
      </c>
    </row>
    <row r="42" spans="1:5" x14ac:dyDescent="0.25">
      <c r="A42" t="s">
        <v>175</v>
      </c>
      <c r="B42" t="s">
        <v>176</v>
      </c>
      <c r="C42" t="s">
        <v>17</v>
      </c>
      <c r="D42" t="s">
        <v>18</v>
      </c>
      <c r="E42">
        <v>0</v>
      </c>
    </row>
    <row r="43" spans="1:5" x14ac:dyDescent="0.25">
      <c r="A43" t="s">
        <v>177</v>
      </c>
      <c r="B43" t="s">
        <v>176</v>
      </c>
      <c r="C43" t="s">
        <v>20</v>
      </c>
      <c r="D43" t="s">
        <v>18</v>
      </c>
      <c r="E43">
        <v>0</v>
      </c>
    </row>
    <row r="44" spans="1:5" x14ac:dyDescent="0.25">
      <c r="A44" t="s">
        <v>25</v>
      </c>
      <c r="B44" t="s">
        <v>26</v>
      </c>
      <c r="C44" t="s">
        <v>17</v>
      </c>
      <c r="D44" t="s">
        <v>18</v>
      </c>
      <c r="E44">
        <v>853</v>
      </c>
    </row>
    <row r="45" spans="1:5" x14ac:dyDescent="0.25">
      <c r="A45" t="s">
        <v>27</v>
      </c>
      <c r="B45" t="s">
        <v>26</v>
      </c>
      <c r="C45" t="s">
        <v>20</v>
      </c>
      <c r="D45" t="s">
        <v>18</v>
      </c>
      <c r="E45">
        <v>216</v>
      </c>
    </row>
    <row r="46" spans="1:5" x14ac:dyDescent="0.25">
      <c r="A46" t="s">
        <v>190</v>
      </c>
      <c r="B46" t="s">
        <v>191</v>
      </c>
      <c r="C46" t="s">
        <v>17</v>
      </c>
      <c r="D46" t="s">
        <v>18</v>
      </c>
      <c r="E46">
        <v>322</v>
      </c>
    </row>
    <row r="47" spans="1:5" x14ac:dyDescent="0.25">
      <c r="A47" t="s">
        <v>192</v>
      </c>
      <c r="B47" t="s">
        <v>191</v>
      </c>
      <c r="C47" t="s">
        <v>20</v>
      </c>
      <c r="D47" t="s">
        <v>18</v>
      </c>
      <c r="E47">
        <v>0</v>
      </c>
    </row>
    <row r="48" spans="1:5" x14ac:dyDescent="0.25">
      <c r="A48" t="s">
        <v>245</v>
      </c>
      <c r="B48" t="s">
        <v>246</v>
      </c>
      <c r="C48" t="s">
        <v>17</v>
      </c>
      <c r="D48" t="s">
        <v>18</v>
      </c>
      <c r="E48">
        <v>38</v>
      </c>
    </row>
    <row r="49" spans="1:5" x14ac:dyDescent="0.25">
      <c r="A49" t="s">
        <v>247</v>
      </c>
      <c r="B49" t="s">
        <v>246</v>
      </c>
      <c r="C49" t="s">
        <v>20</v>
      </c>
      <c r="D49" t="s">
        <v>18</v>
      </c>
      <c r="E49">
        <v>0</v>
      </c>
    </row>
    <row r="50" spans="1:5" x14ac:dyDescent="0.25">
      <c r="A50" t="s">
        <v>255</v>
      </c>
      <c r="B50" t="s">
        <v>256</v>
      </c>
      <c r="C50" t="s">
        <v>17</v>
      </c>
      <c r="D50" t="s">
        <v>18</v>
      </c>
      <c r="E50">
        <v>453</v>
      </c>
    </row>
    <row r="51" spans="1:5" x14ac:dyDescent="0.25">
      <c r="A51" t="s">
        <v>257</v>
      </c>
      <c r="B51" t="s">
        <v>256</v>
      </c>
      <c r="C51" t="s">
        <v>20</v>
      </c>
      <c r="D51" t="s">
        <v>18</v>
      </c>
      <c r="E51">
        <v>0</v>
      </c>
    </row>
    <row r="52" spans="1:5" x14ac:dyDescent="0.25">
      <c r="A52" t="s">
        <v>155</v>
      </c>
      <c r="B52" t="s">
        <v>156</v>
      </c>
      <c r="C52" t="s">
        <v>17</v>
      </c>
      <c r="D52" t="s">
        <v>18</v>
      </c>
      <c r="E52">
        <v>0</v>
      </c>
    </row>
    <row r="53" spans="1:5" x14ac:dyDescent="0.25">
      <c r="A53" t="s">
        <v>157</v>
      </c>
      <c r="B53" t="s">
        <v>156</v>
      </c>
      <c r="C53" t="s">
        <v>20</v>
      </c>
      <c r="D53" t="s">
        <v>18</v>
      </c>
      <c r="E53">
        <v>0</v>
      </c>
    </row>
    <row r="54" spans="1:5" x14ac:dyDescent="0.25">
      <c r="A54" t="s">
        <v>235</v>
      </c>
      <c r="B54" t="s">
        <v>236</v>
      </c>
      <c r="C54" t="s">
        <v>17</v>
      </c>
      <c r="D54" t="s">
        <v>18</v>
      </c>
      <c r="E54">
        <v>0</v>
      </c>
    </row>
    <row r="55" spans="1:5" x14ac:dyDescent="0.25">
      <c r="A55" t="s">
        <v>237</v>
      </c>
      <c r="B55" t="s">
        <v>236</v>
      </c>
      <c r="C55" t="s">
        <v>20</v>
      </c>
      <c r="D55" t="s">
        <v>18</v>
      </c>
      <c r="E55">
        <v>0</v>
      </c>
    </row>
    <row r="56" spans="1:5" x14ac:dyDescent="0.25">
      <c r="A56" t="s">
        <v>30</v>
      </c>
      <c r="B56" t="s">
        <v>31</v>
      </c>
      <c r="C56" t="s">
        <v>17</v>
      </c>
      <c r="D56" t="s">
        <v>18</v>
      </c>
      <c r="E56">
        <v>1716</v>
      </c>
    </row>
    <row r="57" spans="1:5" x14ac:dyDescent="0.25">
      <c r="A57" t="s">
        <v>32</v>
      </c>
      <c r="B57" t="s">
        <v>31</v>
      </c>
      <c r="C57" t="s">
        <v>20</v>
      </c>
      <c r="D57" t="s">
        <v>18</v>
      </c>
      <c r="E57">
        <v>224</v>
      </c>
    </row>
    <row r="58" spans="1:5" x14ac:dyDescent="0.25">
      <c r="A58" t="s">
        <v>200</v>
      </c>
      <c r="B58" t="s">
        <v>201</v>
      </c>
      <c r="C58" t="s">
        <v>17</v>
      </c>
      <c r="D58" t="s">
        <v>18</v>
      </c>
      <c r="E58">
        <v>0</v>
      </c>
    </row>
    <row r="59" spans="1:5" x14ac:dyDescent="0.25">
      <c r="A59" t="s">
        <v>202</v>
      </c>
      <c r="B59" t="s">
        <v>201</v>
      </c>
      <c r="C59" t="s">
        <v>20</v>
      </c>
      <c r="D59" t="s">
        <v>18</v>
      </c>
      <c r="E59">
        <v>0</v>
      </c>
    </row>
    <row r="60" spans="1:5" x14ac:dyDescent="0.25">
      <c r="A60" t="s">
        <v>35</v>
      </c>
      <c r="B60" t="s">
        <v>36</v>
      </c>
      <c r="C60" t="s">
        <v>17</v>
      </c>
      <c r="D60" t="s">
        <v>18</v>
      </c>
      <c r="E60">
        <v>281</v>
      </c>
    </row>
    <row r="61" spans="1:5" x14ac:dyDescent="0.25">
      <c r="A61" t="s">
        <v>37</v>
      </c>
      <c r="B61" t="s">
        <v>36</v>
      </c>
      <c r="C61" t="s">
        <v>20</v>
      </c>
      <c r="D61" t="s">
        <v>18</v>
      </c>
      <c r="E61">
        <v>362</v>
      </c>
    </row>
    <row r="62" spans="1:5" x14ac:dyDescent="0.25">
      <c r="A62" t="s">
        <v>240</v>
      </c>
      <c r="B62" t="s">
        <v>241</v>
      </c>
      <c r="C62" t="s">
        <v>17</v>
      </c>
      <c r="D62" t="s">
        <v>18</v>
      </c>
      <c r="E62">
        <v>0</v>
      </c>
    </row>
    <row r="63" spans="1:5" x14ac:dyDescent="0.25">
      <c r="A63" t="s">
        <v>242</v>
      </c>
      <c r="B63" t="s">
        <v>241</v>
      </c>
      <c r="C63" t="s">
        <v>20</v>
      </c>
      <c r="D63" t="s">
        <v>18</v>
      </c>
      <c r="E63">
        <v>0</v>
      </c>
    </row>
    <row r="64" spans="1:5" x14ac:dyDescent="0.25">
      <c r="A64" t="s">
        <v>220</v>
      </c>
      <c r="B64" t="s">
        <v>221</v>
      </c>
      <c r="C64" t="s">
        <v>17</v>
      </c>
      <c r="D64" t="s">
        <v>18</v>
      </c>
      <c r="E64">
        <v>73</v>
      </c>
    </row>
    <row r="65" spans="1:5" x14ac:dyDescent="0.25">
      <c r="A65" t="s">
        <v>222</v>
      </c>
      <c r="B65" t="s">
        <v>221</v>
      </c>
      <c r="C65" t="s">
        <v>20</v>
      </c>
      <c r="D65" t="s">
        <v>18</v>
      </c>
      <c r="E65">
        <v>0</v>
      </c>
    </row>
    <row r="66" spans="1:5" x14ac:dyDescent="0.25">
      <c r="A66" t="s">
        <v>115</v>
      </c>
      <c r="B66" t="s">
        <v>116</v>
      </c>
      <c r="C66" t="s">
        <v>17</v>
      </c>
      <c r="D66" t="s">
        <v>18</v>
      </c>
      <c r="E66">
        <v>454</v>
      </c>
    </row>
    <row r="67" spans="1:5" x14ac:dyDescent="0.25">
      <c r="A67" t="s">
        <v>117</v>
      </c>
      <c r="B67" t="s">
        <v>116</v>
      </c>
      <c r="C67" t="s">
        <v>20</v>
      </c>
      <c r="D67" t="s">
        <v>18</v>
      </c>
      <c r="E67">
        <v>5</v>
      </c>
    </row>
    <row r="68" spans="1:5" x14ac:dyDescent="0.25">
      <c r="A68" t="s">
        <v>50</v>
      </c>
      <c r="B68" t="s">
        <v>51</v>
      </c>
      <c r="C68" t="s">
        <v>17</v>
      </c>
      <c r="D68" t="s">
        <v>18</v>
      </c>
      <c r="E68">
        <v>16</v>
      </c>
    </row>
    <row r="69" spans="1:5" x14ac:dyDescent="0.25">
      <c r="A69" t="s">
        <v>52</v>
      </c>
      <c r="B69" t="s">
        <v>51</v>
      </c>
      <c r="C69" t="s">
        <v>20</v>
      </c>
      <c r="D69" t="s">
        <v>18</v>
      </c>
      <c r="E69">
        <v>170</v>
      </c>
    </row>
    <row r="70" spans="1:5" x14ac:dyDescent="0.25">
      <c r="A70" t="s">
        <v>55</v>
      </c>
      <c r="B70" t="s">
        <v>56</v>
      </c>
      <c r="C70" t="s">
        <v>17</v>
      </c>
      <c r="D70" t="s">
        <v>18</v>
      </c>
      <c r="E70">
        <v>207</v>
      </c>
    </row>
    <row r="71" spans="1:5" x14ac:dyDescent="0.25">
      <c r="A71" t="s">
        <v>57</v>
      </c>
      <c r="B71" t="s">
        <v>56</v>
      </c>
      <c r="C71" t="s">
        <v>20</v>
      </c>
      <c r="D71" t="s">
        <v>18</v>
      </c>
      <c r="E71">
        <v>25</v>
      </c>
    </row>
    <row r="72" spans="1:5" x14ac:dyDescent="0.25">
      <c r="A72" t="s">
        <v>215</v>
      </c>
      <c r="B72" t="s">
        <v>216</v>
      </c>
      <c r="C72" t="s">
        <v>17</v>
      </c>
      <c r="D72" t="s">
        <v>18</v>
      </c>
      <c r="E72">
        <v>0</v>
      </c>
    </row>
    <row r="73" spans="1:5" x14ac:dyDescent="0.25">
      <c r="A73" t="s">
        <v>217</v>
      </c>
      <c r="B73" t="s">
        <v>216</v>
      </c>
      <c r="C73" t="s">
        <v>20</v>
      </c>
      <c r="D73" t="s">
        <v>18</v>
      </c>
      <c r="E73">
        <v>0</v>
      </c>
    </row>
    <row r="74" spans="1:5" x14ac:dyDescent="0.25">
      <c r="A74" t="s">
        <v>185</v>
      </c>
      <c r="B74" t="s">
        <v>186</v>
      </c>
      <c r="C74" t="s">
        <v>17</v>
      </c>
      <c r="D74" t="s">
        <v>18</v>
      </c>
      <c r="E74">
        <v>0</v>
      </c>
    </row>
    <row r="75" spans="1:5" x14ac:dyDescent="0.25">
      <c r="A75" t="s">
        <v>187</v>
      </c>
      <c r="B75" t="s">
        <v>186</v>
      </c>
      <c r="C75" t="s">
        <v>20</v>
      </c>
      <c r="D75" t="s">
        <v>18</v>
      </c>
      <c r="E75">
        <v>0</v>
      </c>
    </row>
    <row r="76" spans="1:5" x14ac:dyDescent="0.25">
      <c r="A76" t="s">
        <v>65</v>
      </c>
      <c r="B76" t="s">
        <v>66</v>
      </c>
      <c r="C76" t="s">
        <v>17</v>
      </c>
      <c r="D76" t="s">
        <v>18</v>
      </c>
      <c r="E76">
        <v>0</v>
      </c>
    </row>
    <row r="77" spans="1:5" x14ac:dyDescent="0.25">
      <c r="A77" t="s">
        <v>67</v>
      </c>
      <c r="B77" t="s">
        <v>66</v>
      </c>
      <c r="C77" t="s">
        <v>20</v>
      </c>
      <c r="D77" t="s">
        <v>18</v>
      </c>
      <c r="E77">
        <v>0</v>
      </c>
    </row>
    <row r="78" spans="1:5" x14ac:dyDescent="0.25">
      <c r="A78" t="s">
        <v>180</v>
      </c>
      <c r="B78" t="s">
        <v>181</v>
      </c>
      <c r="C78" t="s">
        <v>17</v>
      </c>
      <c r="D78" t="s">
        <v>18</v>
      </c>
      <c r="E78">
        <v>0</v>
      </c>
    </row>
    <row r="79" spans="1:5" x14ac:dyDescent="0.25">
      <c r="A79" t="s">
        <v>182</v>
      </c>
      <c r="B79" t="s">
        <v>181</v>
      </c>
      <c r="C79" t="s">
        <v>20</v>
      </c>
      <c r="D79" t="s">
        <v>18</v>
      </c>
      <c r="E79">
        <v>0</v>
      </c>
    </row>
    <row r="80" spans="1:5" x14ac:dyDescent="0.25">
      <c r="A80" t="s">
        <v>80</v>
      </c>
      <c r="B80" t="s">
        <v>81</v>
      </c>
      <c r="C80" t="s">
        <v>17</v>
      </c>
      <c r="D80" t="s">
        <v>18</v>
      </c>
      <c r="E80">
        <v>0</v>
      </c>
    </row>
    <row r="81" spans="1:5" x14ac:dyDescent="0.25">
      <c r="A81" t="s">
        <v>82</v>
      </c>
      <c r="B81" t="s">
        <v>81</v>
      </c>
      <c r="C81" t="s">
        <v>20</v>
      </c>
      <c r="D81" t="s">
        <v>18</v>
      </c>
      <c r="E81">
        <v>152</v>
      </c>
    </row>
    <row r="82" spans="1:5" x14ac:dyDescent="0.25">
      <c r="A82" t="s">
        <v>15</v>
      </c>
      <c r="B82" t="s">
        <v>16</v>
      </c>
      <c r="C82" t="s">
        <v>17</v>
      </c>
      <c r="D82" t="s">
        <v>18</v>
      </c>
      <c r="E82">
        <v>66</v>
      </c>
    </row>
    <row r="83" spans="1:5" x14ac:dyDescent="0.25">
      <c r="A83" t="s">
        <v>19</v>
      </c>
      <c r="B83" t="s">
        <v>16</v>
      </c>
      <c r="C83" t="s">
        <v>20</v>
      </c>
      <c r="D83" t="s">
        <v>18</v>
      </c>
      <c r="E83">
        <v>136</v>
      </c>
    </row>
    <row r="84" spans="1:5" x14ac:dyDescent="0.25">
      <c r="A84" t="s">
        <v>225</v>
      </c>
      <c r="B84" t="s">
        <v>226</v>
      </c>
      <c r="C84" t="s">
        <v>17</v>
      </c>
      <c r="D84" t="s">
        <v>18</v>
      </c>
      <c r="E84">
        <v>0</v>
      </c>
    </row>
    <row r="85" spans="1:5" x14ac:dyDescent="0.25">
      <c r="A85" t="s">
        <v>227</v>
      </c>
      <c r="B85" t="s">
        <v>226</v>
      </c>
      <c r="C85" t="s">
        <v>20</v>
      </c>
      <c r="D85" t="s">
        <v>18</v>
      </c>
      <c r="E85">
        <v>0</v>
      </c>
    </row>
    <row r="86" spans="1:5" x14ac:dyDescent="0.25">
      <c r="A86" t="s">
        <v>170</v>
      </c>
      <c r="B86" t="s">
        <v>171</v>
      </c>
      <c r="C86" t="s">
        <v>17</v>
      </c>
      <c r="D86" t="s">
        <v>18</v>
      </c>
      <c r="E86">
        <v>0</v>
      </c>
    </row>
    <row r="87" spans="1:5" x14ac:dyDescent="0.25">
      <c r="A87" t="s">
        <v>172</v>
      </c>
      <c r="B87" t="s">
        <v>171</v>
      </c>
      <c r="C87" t="s">
        <v>20</v>
      </c>
      <c r="D87" t="s">
        <v>18</v>
      </c>
      <c r="E87">
        <v>0</v>
      </c>
    </row>
    <row r="88" spans="1:5" x14ac:dyDescent="0.25">
      <c r="A88" t="s">
        <v>100</v>
      </c>
      <c r="B88" t="s">
        <v>101</v>
      </c>
      <c r="C88" t="s">
        <v>17</v>
      </c>
      <c r="D88" t="s">
        <v>18</v>
      </c>
      <c r="E88">
        <v>80</v>
      </c>
    </row>
    <row r="89" spans="1:5" x14ac:dyDescent="0.25">
      <c r="A89" t="s">
        <v>102</v>
      </c>
      <c r="B89" t="s">
        <v>101</v>
      </c>
      <c r="C89" t="s">
        <v>20</v>
      </c>
      <c r="D89" t="s">
        <v>18</v>
      </c>
      <c r="E89">
        <v>0</v>
      </c>
    </row>
    <row r="90" spans="1:5" x14ac:dyDescent="0.25">
      <c r="A90" t="s">
        <v>95</v>
      </c>
      <c r="B90" t="s">
        <v>96</v>
      </c>
      <c r="C90" t="s">
        <v>17</v>
      </c>
      <c r="D90" t="s">
        <v>18</v>
      </c>
      <c r="E90">
        <v>40</v>
      </c>
    </row>
    <row r="91" spans="1:5" x14ac:dyDescent="0.25">
      <c r="A91" t="s">
        <v>97</v>
      </c>
      <c r="B91" t="s">
        <v>96</v>
      </c>
      <c r="C91" t="s">
        <v>20</v>
      </c>
      <c r="D91" t="s">
        <v>18</v>
      </c>
      <c r="E91">
        <v>0</v>
      </c>
    </row>
    <row r="92" spans="1:5" x14ac:dyDescent="0.25">
      <c r="A92" t="s">
        <v>85</v>
      </c>
      <c r="B92" t="s">
        <v>86</v>
      </c>
      <c r="C92" t="s">
        <v>17</v>
      </c>
      <c r="D92" t="s">
        <v>18</v>
      </c>
      <c r="E92">
        <v>0</v>
      </c>
    </row>
    <row r="93" spans="1:5" x14ac:dyDescent="0.25">
      <c r="A93" t="s">
        <v>87</v>
      </c>
      <c r="B93" t="s">
        <v>86</v>
      </c>
      <c r="C93" t="s">
        <v>20</v>
      </c>
      <c r="D93" t="s">
        <v>18</v>
      </c>
      <c r="E93">
        <v>101</v>
      </c>
    </row>
    <row r="94" spans="1:5" x14ac:dyDescent="0.25">
      <c r="A94" t="s">
        <v>40</v>
      </c>
      <c r="B94" t="s">
        <v>41</v>
      </c>
      <c r="C94" t="s">
        <v>17</v>
      </c>
      <c r="D94" t="s">
        <v>18</v>
      </c>
      <c r="E94">
        <v>0</v>
      </c>
    </row>
    <row r="95" spans="1:5" x14ac:dyDescent="0.25">
      <c r="A95" t="s">
        <v>42</v>
      </c>
      <c r="B95" t="s">
        <v>41</v>
      </c>
      <c r="C95" t="s">
        <v>20</v>
      </c>
      <c r="D95" t="s">
        <v>18</v>
      </c>
      <c r="E95">
        <v>0</v>
      </c>
    </row>
    <row r="96" spans="1:5" x14ac:dyDescent="0.25">
      <c r="A96" t="s">
        <v>45</v>
      </c>
      <c r="B96" t="s">
        <v>46</v>
      </c>
      <c r="C96" t="s">
        <v>17</v>
      </c>
      <c r="D96" t="s">
        <v>18</v>
      </c>
      <c r="E96">
        <v>409</v>
      </c>
    </row>
    <row r="97" spans="1:5" x14ac:dyDescent="0.25">
      <c r="A97" t="s">
        <v>47</v>
      </c>
      <c r="B97" t="s">
        <v>46</v>
      </c>
      <c r="C97" t="s">
        <v>20</v>
      </c>
      <c r="D97" t="s">
        <v>18</v>
      </c>
      <c r="E97">
        <v>81</v>
      </c>
    </row>
    <row r="98" spans="1:5" x14ac:dyDescent="0.25">
      <c r="A98" t="s">
        <v>281</v>
      </c>
      <c r="B98" t="s">
        <v>282</v>
      </c>
      <c r="C98" t="s">
        <v>17</v>
      </c>
      <c r="D98" t="s">
        <v>262</v>
      </c>
      <c r="E98">
        <v>146</v>
      </c>
    </row>
    <row r="99" spans="1:5" x14ac:dyDescent="0.25">
      <c r="A99" t="s">
        <v>283</v>
      </c>
      <c r="B99" t="s">
        <v>282</v>
      </c>
      <c r="C99" t="s">
        <v>20</v>
      </c>
      <c r="D99" t="s">
        <v>262</v>
      </c>
      <c r="E99">
        <v>0</v>
      </c>
    </row>
    <row r="100" spans="1:5" x14ac:dyDescent="0.25">
      <c r="A100" t="s">
        <v>361</v>
      </c>
      <c r="B100" t="s">
        <v>362</v>
      </c>
      <c r="C100" t="s">
        <v>17</v>
      </c>
      <c r="D100" t="s">
        <v>262</v>
      </c>
      <c r="E100">
        <v>0</v>
      </c>
    </row>
    <row r="101" spans="1:5" x14ac:dyDescent="0.25">
      <c r="A101" t="s">
        <v>363</v>
      </c>
      <c r="B101" t="s">
        <v>362</v>
      </c>
      <c r="C101" t="s">
        <v>20</v>
      </c>
      <c r="D101" t="s">
        <v>262</v>
      </c>
      <c r="E101">
        <v>70</v>
      </c>
    </row>
    <row r="102" spans="1:5" x14ac:dyDescent="0.25">
      <c r="A102" t="s">
        <v>331</v>
      </c>
      <c r="B102" t="s">
        <v>332</v>
      </c>
      <c r="C102" t="s">
        <v>17</v>
      </c>
      <c r="D102" t="s">
        <v>262</v>
      </c>
      <c r="E102">
        <v>315</v>
      </c>
    </row>
    <row r="103" spans="1:5" x14ac:dyDescent="0.25">
      <c r="A103" t="s">
        <v>333</v>
      </c>
      <c r="B103" t="s">
        <v>332</v>
      </c>
      <c r="C103" t="s">
        <v>20</v>
      </c>
      <c r="D103" t="s">
        <v>262</v>
      </c>
      <c r="E103">
        <v>0</v>
      </c>
    </row>
    <row r="104" spans="1:5" x14ac:dyDescent="0.25">
      <c r="A104" t="s">
        <v>276</v>
      </c>
      <c r="B104" t="s">
        <v>277</v>
      </c>
      <c r="C104" t="s">
        <v>17</v>
      </c>
      <c r="D104" t="s">
        <v>262</v>
      </c>
      <c r="E104">
        <v>0</v>
      </c>
    </row>
    <row r="105" spans="1:5" x14ac:dyDescent="0.25">
      <c r="A105" t="s">
        <v>278</v>
      </c>
      <c r="B105" t="s">
        <v>277</v>
      </c>
      <c r="C105" t="s">
        <v>20</v>
      </c>
      <c r="D105" t="s">
        <v>262</v>
      </c>
      <c r="E105">
        <v>0</v>
      </c>
    </row>
    <row r="106" spans="1:5" x14ac:dyDescent="0.25">
      <c r="A106" t="s">
        <v>301</v>
      </c>
      <c r="B106" t="s">
        <v>302</v>
      </c>
      <c r="C106" t="s">
        <v>17</v>
      </c>
      <c r="D106" t="s">
        <v>262</v>
      </c>
      <c r="E106">
        <v>197</v>
      </c>
    </row>
    <row r="107" spans="1:5" x14ac:dyDescent="0.25">
      <c r="A107" t="s">
        <v>303</v>
      </c>
      <c r="B107" t="s">
        <v>302</v>
      </c>
      <c r="C107" t="s">
        <v>20</v>
      </c>
      <c r="D107" t="s">
        <v>262</v>
      </c>
      <c r="E107">
        <v>0</v>
      </c>
    </row>
    <row r="108" spans="1:5" x14ac:dyDescent="0.25">
      <c r="A108" t="s">
        <v>371</v>
      </c>
      <c r="B108" t="s">
        <v>372</v>
      </c>
      <c r="C108" t="s">
        <v>17</v>
      </c>
      <c r="D108" t="s">
        <v>262</v>
      </c>
      <c r="E108">
        <v>150</v>
      </c>
    </row>
    <row r="109" spans="1:5" x14ac:dyDescent="0.25">
      <c r="A109" t="s">
        <v>373</v>
      </c>
      <c r="B109" t="s">
        <v>372</v>
      </c>
      <c r="C109" t="s">
        <v>20</v>
      </c>
      <c r="D109" t="s">
        <v>262</v>
      </c>
      <c r="E109">
        <v>0</v>
      </c>
    </row>
    <row r="110" spans="1:5" x14ac:dyDescent="0.25">
      <c r="A110" t="s">
        <v>311</v>
      </c>
      <c r="B110" t="s">
        <v>312</v>
      </c>
      <c r="C110" t="s">
        <v>17</v>
      </c>
      <c r="D110" t="s">
        <v>262</v>
      </c>
      <c r="E110">
        <v>26</v>
      </c>
    </row>
    <row r="111" spans="1:5" x14ac:dyDescent="0.25">
      <c r="A111" t="s">
        <v>313</v>
      </c>
      <c r="B111" t="s">
        <v>312</v>
      </c>
      <c r="C111" t="s">
        <v>20</v>
      </c>
      <c r="D111" t="s">
        <v>262</v>
      </c>
      <c r="E111">
        <v>54</v>
      </c>
    </row>
    <row r="112" spans="1:5" x14ac:dyDescent="0.25">
      <c r="A112" t="s">
        <v>336</v>
      </c>
      <c r="B112" t="s">
        <v>337</v>
      </c>
      <c r="C112" t="s">
        <v>17</v>
      </c>
      <c r="D112" t="s">
        <v>262</v>
      </c>
      <c r="E112">
        <v>9</v>
      </c>
    </row>
    <row r="113" spans="1:5" x14ac:dyDescent="0.25">
      <c r="A113" t="s">
        <v>338</v>
      </c>
      <c r="B113" t="s">
        <v>337</v>
      </c>
      <c r="C113" t="s">
        <v>20</v>
      </c>
      <c r="D113" t="s">
        <v>262</v>
      </c>
      <c r="E113">
        <v>0</v>
      </c>
    </row>
    <row r="114" spans="1:5" x14ac:dyDescent="0.25">
      <c r="A114" t="s">
        <v>306</v>
      </c>
      <c r="B114" t="s">
        <v>307</v>
      </c>
      <c r="C114" t="s">
        <v>17</v>
      </c>
      <c r="D114" t="s">
        <v>262</v>
      </c>
      <c r="E114">
        <v>62</v>
      </c>
    </row>
    <row r="115" spans="1:5" x14ac:dyDescent="0.25">
      <c r="A115" t="s">
        <v>308</v>
      </c>
      <c r="B115" t="s">
        <v>307</v>
      </c>
      <c r="C115" t="s">
        <v>20</v>
      </c>
      <c r="D115" t="s">
        <v>262</v>
      </c>
      <c r="E115">
        <v>0</v>
      </c>
    </row>
    <row r="116" spans="1:5" x14ac:dyDescent="0.25">
      <c r="A116" t="s">
        <v>381</v>
      </c>
      <c r="B116" t="s">
        <v>382</v>
      </c>
      <c r="C116" t="s">
        <v>17</v>
      </c>
      <c r="D116" t="s">
        <v>262</v>
      </c>
      <c r="E116">
        <v>128</v>
      </c>
    </row>
    <row r="117" spans="1:5" x14ac:dyDescent="0.25">
      <c r="A117" t="s">
        <v>383</v>
      </c>
      <c r="B117" t="s">
        <v>382</v>
      </c>
      <c r="C117" t="s">
        <v>20</v>
      </c>
      <c r="D117" t="s">
        <v>262</v>
      </c>
      <c r="E117">
        <v>0</v>
      </c>
    </row>
    <row r="118" spans="1:5" x14ac:dyDescent="0.25">
      <c r="A118" t="s">
        <v>291</v>
      </c>
      <c r="B118" t="s">
        <v>292</v>
      </c>
      <c r="C118" t="s">
        <v>17</v>
      </c>
      <c r="D118" t="s">
        <v>262</v>
      </c>
      <c r="E118">
        <v>282</v>
      </c>
    </row>
    <row r="119" spans="1:5" x14ac:dyDescent="0.25">
      <c r="A119" t="s">
        <v>293</v>
      </c>
      <c r="B119" t="s">
        <v>292</v>
      </c>
      <c r="C119" t="s">
        <v>20</v>
      </c>
      <c r="D119" t="s">
        <v>262</v>
      </c>
      <c r="E119">
        <v>0</v>
      </c>
    </row>
    <row r="120" spans="1:5" x14ac:dyDescent="0.25">
      <c r="A120" t="s">
        <v>321</v>
      </c>
      <c r="B120" t="s">
        <v>322</v>
      </c>
      <c r="C120" t="s">
        <v>17</v>
      </c>
      <c r="D120" t="s">
        <v>262</v>
      </c>
      <c r="E120">
        <v>108</v>
      </c>
    </row>
    <row r="121" spans="1:5" x14ac:dyDescent="0.25">
      <c r="A121" t="s">
        <v>323</v>
      </c>
      <c r="B121" t="s">
        <v>322</v>
      </c>
      <c r="C121" t="s">
        <v>20</v>
      </c>
      <c r="D121" t="s">
        <v>262</v>
      </c>
      <c r="E121">
        <v>38</v>
      </c>
    </row>
    <row r="122" spans="1:5" x14ac:dyDescent="0.25">
      <c r="A122" t="s">
        <v>316</v>
      </c>
      <c r="B122" t="s">
        <v>317</v>
      </c>
      <c r="C122" t="s">
        <v>17</v>
      </c>
      <c r="D122" t="s">
        <v>262</v>
      </c>
      <c r="E122">
        <v>120</v>
      </c>
    </row>
    <row r="123" spans="1:5" x14ac:dyDescent="0.25">
      <c r="A123" t="s">
        <v>318</v>
      </c>
      <c r="B123" t="s">
        <v>317</v>
      </c>
      <c r="C123" t="s">
        <v>20</v>
      </c>
      <c r="D123" t="s">
        <v>262</v>
      </c>
      <c r="E123">
        <v>0</v>
      </c>
    </row>
    <row r="124" spans="1:5" x14ac:dyDescent="0.25">
      <c r="A124" t="s">
        <v>260</v>
      </c>
      <c r="B124" t="s">
        <v>261</v>
      </c>
      <c r="C124" t="s">
        <v>17</v>
      </c>
      <c r="D124" t="s">
        <v>262</v>
      </c>
      <c r="E124">
        <v>989</v>
      </c>
    </row>
    <row r="125" spans="1:5" x14ac:dyDescent="0.25">
      <c r="A125" t="s">
        <v>263</v>
      </c>
      <c r="B125" t="s">
        <v>261</v>
      </c>
      <c r="C125" t="s">
        <v>20</v>
      </c>
      <c r="D125" t="s">
        <v>262</v>
      </c>
      <c r="E125">
        <v>13</v>
      </c>
    </row>
    <row r="126" spans="1:5" x14ac:dyDescent="0.25">
      <c r="A126" t="s">
        <v>266</v>
      </c>
      <c r="B126" t="s">
        <v>267</v>
      </c>
      <c r="C126" t="s">
        <v>17</v>
      </c>
      <c r="D126" t="s">
        <v>262</v>
      </c>
      <c r="E126">
        <v>1310</v>
      </c>
    </row>
    <row r="127" spans="1:5" x14ac:dyDescent="0.25">
      <c r="A127" t="s">
        <v>268</v>
      </c>
      <c r="B127" t="s">
        <v>267</v>
      </c>
      <c r="C127" t="s">
        <v>20</v>
      </c>
      <c r="D127" t="s">
        <v>262</v>
      </c>
      <c r="E127">
        <v>121</v>
      </c>
    </row>
    <row r="128" spans="1:5" x14ac:dyDescent="0.25">
      <c r="A128" t="s">
        <v>326</v>
      </c>
      <c r="B128" t="s">
        <v>327</v>
      </c>
      <c r="C128" t="s">
        <v>17</v>
      </c>
      <c r="D128" t="s">
        <v>262</v>
      </c>
      <c r="E128">
        <v>132</v>
      </c>
    </row>
    <row r="129" spans="1:5" x14ac:dyDescent="0.25">
      <c r="A129" t="s">
        <v>328</v>
      </c>
      <c r="B129" t="s">
        <v>327</v>
      </c>
      <c r="C129" t="s">
        <v>20</v>
      </c>
      <c r="D129" t="s">
        <v>262</v>
      </c>
      <c r="E129">
        <v>67</v>
      </c>
    </row>
    <row r="130" spans="1:5" x14ac:dyDescent="0.25">
      <c r="A130" t="s">
        <v>356</v>
      </c>
      <c r="B130" t="s">
        <v>357</v>
      </c>
      <c r="C130" t="s">
        <v>17</v>
      </c>
      <c r="D130" t="s">
        <v>262</v>
      </c>
      <c r="E130">
        <v>0</v>
      </c>
    </row>
    <row r="131" spans="1:5" x14ac:dyDescent="0.25">
      <c r="A131" t="s">
        <v>358</v>
      </c>
      <c r="B131" t="s">
        <v>357</v>
      </c>
      <c r="C131" t="s">
        <v>20</v>
      </c>
      <c r="D131" t="s">
        <v>262</v>
      </c>
      <c r="E131">
        <v>0</v>
      </c>
    </row>
    <row r="132" spans="1:5" x14ac:dyDescent="0.25">
      <c r="A132" t="s">
        <v>286</v>
      </c>
      <c r="B132" t="s">
        <v>287</v>
      </c>
      <c r="C132" t="s">
        <v>17</v>
      </c>
      <c r="D132" t="s">
        <v>262</v>
      </c>
      <c r="E132">
        <v>750</v>
      </c>
    </row>
    <row r="133" spans="1:5" x14ac:dyDescent="0.25">
      <c r="A133" t="s">
        <v>288</v>
      </c>
      <c r="B133" t="s">
        <v>287</v>
      </c>
      <c r="C133" t="s">
        <v>20</v>
      </c>
      <c r="D133" t="s">
        <v>262</v>
      </c>
      <c r="E133">
        <v>0</v>
      </c>
    </row>
    <row r="134" spans="1:5" x14ac:dyDescent="0.25">
      <c r="A134" t="s">
        <v>351</v>
      </c>
      <c r="B134" t="s">
        <v>352</v>
      </c>
      <c r="C134" t="s">
        <v>17</v>
      </c>
      <c r="D134" t="s">
        <v>262</v>
      </c>
      <c r="E134">
        <v>60</v>
      </c>
    </row>
    <row r="135" spans="1:5" x14ac:dyDescent="0.25">
      <c r="A135" t="s">
        <v>353</v>
      </c>
      <c r="B135" t="s">
        <v>352</v>
      </c>
      <c r="C135" t="s">
        <v>20</v>
      </c>
      <c r="D135" t="s">
        <v>262</v>
      </c>
      <c r="E135">
        <v>0</v>
      </c>
    </row>
    <row r="136" spans="1:5" x14ac:dyDescent="0.25">
      <c r="A136" t="s">
        <v>366</v>
      </c>
      <c r="B136" t="s">
        <v>367</v>
      </c>
      <c r="C136" t="s">
        <v>17</v>
      </c>
      <c r="D136" t="s">
        <v>262</v>
      </c>
      <c r="E136">
        <v>0</v>
      </c>
    </row>
    <row r="137" spans="1:5" x14ac:dyDescent="0.25">
      <c r="A137" t="s">
        <v>368</v>
      </c>
      <c r="B137" t="s">
        <v>367</v>
      </c>
      <c r="C137" t="s">
        <v>20</v>
      </c>
      <c r="D137" t="s">
        <v>262</v>
      </c>
      <c r="E137">
        <v>0</v>
      </c>
    </row>
    <row r="138" spans="1:5" x14ac:dyDescent="0.25">
      <c r="A138" t="s">
        <v>296</v>
      </c>
      <c r="B138" t="s">
        <v>297</v>
      </c>
      <c r="C138" t="s">
        <v>17</v>
      </c>
      <c r="D138" t="s">
        <v>262</v>
      </c>
      <c r="E138">
        <v>0</v>
      </c>
    </row>
    <row r="139" spans="1:5" x14ac:dyDescent="0.25">
      <c r="A139" t="s">
        <v>298</v>
      </c>
      <c r="B139" t="s">
        <v>297</v>
      </c>
      <c r="C139" t="s">
        <v>20</v>
      </c>
      <c r="D139" t="s">
        <v>262</v>
      </c>
      <c r="E139">
        <v>50</v>
      </c>
    </row>
    <row r="140" spans="1:5" x14ac:dyDescent="0.25">
      <c r="A140" t="s">
        <v>376</v>
      </c>
      <c r="B140" t="s">
        <v>377</v>
      </c>
      <c r="C140" t="s">
        <v>17</v>
      </c>
      <c r="D140" t="s">
        <v>262</v>
      </c>
      <c r="E140">
        <v>0</v>
      </c>
    </row>
    <row r="141" spans="1:5" x14ac:dyDescent="0.25">
      <c r="A141" t="s">
        <v>378</v>
      </c>
      <c r="B141" t="s">
        <v>377</v>
      </c>
      <c r="C141" t="s">
        <v>20</v>
      </c>
      <c r="D141" t="s">
        <v>262</v>
      </c>
      <c r="E141">
        <v>0</v>
      </c>
    </row>
    <row r="142" spans="1:5" x14ac:dyDescent="0.25">
      <c r="A142" t="s">
        <v>341</v>
      </c>
      <c r="B142" t="s">
        <v>342</v>
      </c>
      <c r="C142" t="s">
        <v>17</v>
      </c>
      <c r="D142" t="s">
        <v>262</v>
      </c>
      <c r="E142">
        <v>119</v>
      </c>
    </row>
    <row r="143" spans="1:5" x14ac:dyDescent="0.25">
      <c r="A143" t="s">
        <v>343</v>
      </c>
      <c r="B143" t="s">
        <v>342</v>
      </c>
      <c r="C143" t="s">
        <v>20</v>
      </c>
      <c r="D143" t="s">
        <v>262</v>
      </c>
      <c r="E143">
        <v>0</v>
      </c>
    </row>
    <row r="144" spans="1:5" x14ac:dyDescent="0.25">
      <c r="A144" t="s">
        <v>346</v>
      </c>
      <c r="B144" t="s">
        <v>347</v>
      </c>
      <c r="C144" t="s">
        <v>17</v>
      </c>
      <c r="D144" t="s">
        <v>262</v>
      </c>
      <c r="E144">
        <v>49</v>
      </c>
    </row>
    <row r="145" spans="1:5" x14ac:dyDescent="0.25">
      <c r="A145" t="s">
        <v>348</v>
      </c>
      <c r="B145" t="s">
        <v>347</v>
      </c>
      <c r="C145" t="s">
        <v>20</v>
      </c>
      <c r="D145" t="s">
        <v>262</v>
      </c>
      <c r="E145">
        <v>0</v>
      </c>
    </row>
    <row r="146" spans="1:5" x14ac:dyDescent="0.25">
      <c r="A146" t="s">
        <v>271</v>
      </c>
      <c r="B146" t="s">
        <v>272</v>
      </c>
      <c r="C146" t="s">
        <v>17</v>
      </c>
      <c r="D146" t="s">
        <v>262</v>
      </c>
      <c r="E146">
        <v>272</v>
      </c>
    </row>
    <row r="147" spans="1:5" x14ac:dyDescent="0.25">
      <c r="A147" t="s">
        <v>273</v>
      </c>
      <c r="B147" t="s">
        <v>272</v>
      </c>
      <c r="C147" t="s">
        <v>20</v>
      </c>
      <c r="D147" t="s">
        <v>262</v>
      </c>
      <c r="E147">
        <v>45</v>
      </c>
    </row>
    <row r="149" spans="1:5" x14ac:dyDescent="0.25">
      <c r="A149" s="5" t="s">
        <v>581</v>
      </c>
      <c r="E149" s="5">
        <f>SUM(E2:E147)</f>
        <v>13836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9"/>
  <sheetViews>
    <sheetView tabSelected="1" zoomScaleNormal="100" workbookViewId="0">
      <selection activeCell="F25" sqref="F25"/>
    </sheetView>
  </sheetViews>
  <sheetFormatPr defaultColWidth="8.7109375" defaultRowHeight="15" x14ac:dyDescent="0.25"/>
  <cols>
    <col min="1" max="1" width="13" customWidth="1"/>
    <col min="2" max="2" width="12" customWidth="1"/>
    <col min="3" max="5" width="8" customWidth="1"/>
    <col min="6" max="6" width="14.85546875" bestFit="1" customWidth="1"/>
    <col min="7" max="7" width="34" customWidth="1"/>
    <col min="8" max="8" width="10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14</v>
      </c>
      <c r="H1" s="1" t="s">
        <v>578</v>
      </c>
    </row>
    <row r="2" spans="1:8" x14ac:dyDescent="0.25">
      <c r="A2" t="s">
        <v>552</v>
      </c>
      <c r="B2">
        <v>22049</v>
      </c>
      <c r="C2">
        <v>4</v>
      </c>
      <c r="D2">
        <v>62</v>
      </c>
      <c r="E2">
        <v>196</v>
      </c>
      <c r="F2" t="s">
        <v>913</v>
      </c>
      <c r="G2" t="s">
        <v>587</v>
      </c>
      <c r="H2">
        <v>15</v>
      </c>
    </row>
    <row r="3" spans="1:8" x14ac:dyDescent="0.25">
      <c r="A3" t="s">
        <v>552</v>
      </c>
      <c r="B3">
        <v>23013</v>
      </c>
      <c r="C3">
        <v>42</v>
      </c>
      <c r="D3">
        <v>62</v>
      </c>
      <c r="E3">
        <v>196</v>
      </c>
      <c r="F3" t="s">
        <v>914</v>
      </c>
      <c r="G3" t="s">
        <v>588</v>
      </c>
      <c r="H3">
        <v>5</v>
      </c>
    </row>
    <row r="4" spans="1:8" x14ac:dyDescent="0.25">
      <c r="A4" t="s">
        <v>552</v>
      </c>
      <c r="B4">
        <v>23023</v>
      </c>
      <c r="C4">
        <v>10</v>
      </c>
      <c r="D4">
        <v>60</v>
      </c>
      <c r="E4">
        <v>196</v>
      </c>
      <c r="F4" t="s">
        <v>913</v>
      </c>
      <c r="G4" t="s">
        <v>589</v>
      </c>
      <c r="H4">
        <v>29</v>
      </c>
    </row>
    <row r="5" spans="1:8" x14ac:dyDescent="0.25">
      <c r="A5" t="s">
        <v>552</v>
      </c>
      <c r="B5">
        <v>23023</v>
      </c>
      <c r="C5">
        <v>9</v>
      </c>
      <c r="D5">
        <v>60</v>
      </c>
      <c r="E5">
        <v>196</v>
      </c>
      <c r="F5" t="s">
        <v>913</v>
      </c>
      <c r="G5" t="s">
        <v>589</v>
      </c>
      <c r="H5">
        <v>29</v>
      </c>
    </row>
    <row r="6" spans="1:8" x14ac:dyDescent="0.25">
      <c r="A6" t="s">
        <v>552</v>
      </c>
      <c r="B6">
        <v>23026</v>
      </c>
      <c r="C6">
        <v>2</v>
      </c>
      <c r="D6">
        <v>50</v>
      </c>
      <c r="E6">
        <v>196</v>
      </c>
      <c r="F6" t="s">
        <v>912</v>
      </c>
      <c r="G6" t="s">
        <v>590</v>
      </c>
      <c r="H6">
        <v>4</v>
      </c>
    </row>
    <row r="7" spans="1:8" x14ac:dyDescent="0.25">
      <c r="A7" t="s">
        <v>552</v>
      </c>
      <c r="B7">
        <v>23028</v>
      </c>
      <c r="C7">
        <v>1</v>
      </c>
      <c r="D7">
        <v>62</v>
      </c>
      <c r="E7">
        <v>196</v>
      </c>
      <c r="F7" t="s">
        <v>912</v>
      </c>
      <c r="G7" t="s">
        <v>591</v>
      </c>
      <c r="H7">
        <v>27</v>
      </c>
    </row>
    <row r="8" spans="1:8" x14ac:dyDescent="0.25">
      <c r="A8" t="s">
        <v>552</v>
      </c>
      <c r="B8">
        <v>23030</v>
      </c>
      <c r="C8">
        <v>4</v>
      </c>
      <c r="D8">
        <v>62</v>
      </c>
      <c r="E8">
        <v>196</v>
      </c>
      <c r="F8" t="s">
        <v>912</v>
      </c>
      <c r="G8" t="s">
        <v>592</v>
      </c>
      <c r="H8">
        <v>1</v>
      </c>
    </row>
    <row r="9" spans="1:8" x14ac:dyDescent="0.25">
      <c r="A9" t="s">
        <v>552</v>
      </c>
      <c r="B9">
        <v>24010</v>
      </c>
      <c r="C9">
        <v>7</v>
      </c>
      <c r="D9">
        <v>62</v>
      </c>
      <c r="E9">
        <v>196</v>
      </c>
      <c r="F9" t="s">
        <v>914</v>
      </c>
      <c r="G9" t="s">
        <v>593</v>
      </c>
      <c r="H9">
        <v>28</v>
      </c>
    </row>
    <row r="10" spans="1:8" x14ac:dyDescent="0.25">
      <c r="A10" t="s">
        <v>552</v>
      </c>
      <c r="B10">
        <v>24024</v>
      </c>
      <c r="C10">
        <v>2</v>
      </c>
      <c r="D10">
        <v>62</v>
      </c>
      <c r="E10">
        <v>196</v>
      </c>
      <c r="F10" t="s">
        <v>912</v>
      </c>
      <c r="G10" t="s">
        <v>594</v>
      </c>
      <c r="H10">
        <v>15</v>
      </c>
    </row>
    <row r="11" spans="1:8" x14ac:dyDescent="0.25">
      <c r="A11" t="s">
        <v>552</v>
      </c>
      <c r="B11">
        <v>24024</v>
      </c>
      <c r="C11">
        <v>10</v>
      </c>
      <c r="D11">
        <v>62</v>
      </c>
      <c r="E11">
        <v>196</v>
      </c>
      <c r="F11" t="s">
        <v>912</v>
      </c>
      <c r="G11" t="s">
        <v>593</v>
      </c>
      <c r="H11">
        <v>17</v>
      </c>
    </row>
    <row r="12" spans="1:8" x14ac:dyDescent="0.25">
      <c r="A12" t="s">
        <v>552</v>
      </c>
      <c r="B12">
        <v>24028</v>
      </c>
      <c r="C12">
        <v>2</v>
      </c>
      <c r="D12">
        <v>62</v>
      </c>
      <c r="E12">
        <v>196</v>
      </c>
      <c r="F12" t="s">
        <v>912</v>
      </c>
      <c r="G12" t="s">
        <v>595</v>
      </c>
      <c r="H12">
        <v>26</v>
      </c>
    </row>
    <row r="13" spans="1:8" x14ac:dyDescent="0.25">
      <c r="A13" t="s">
        <v>552</v>
      </c>
      <c r="B13">
        <v>24028</v>
      </c>
      <c r="C13">
        <v>33</v>
      </c>
      <c r="D13">
        <v>62</v>
      </c>
      <c r="E13">
        <v>196</v>
      </c>
      <c r="F13" t="s">
        <v>912</v>
      </c>
      <c r="G13" t="s">
        <v>596</v>
      </c>
      <c r="H13">
        <v>25</v>
      </c>
    </row>
    <row r="14" spans="1:8" x14ac:dyDescent="0.25">
      <c r="A14" t="s">
        <v>552</v>
      </c>
      <c r="B14">
        <v>24010</v>
      </c>
      <c r="C14">
        <v>4</v>
      </c>
      <c r="D14">
        <v>62</v>
      </c>
      <c r="E14">
        <v>196</v>
      </c>
      <c r="F14" t="s">
        <v>914</v>
      </c>
      <c r="G14" t="s">
        <v>593</v>
      </c>
      <c r="H14">
        <v>26</v>
      </c>
    </row>
    <row r="15" spans="1:8" x14ac:dyDescent="0.25">
      <c r="A15" t="s">
        <v>552</v>
      </c>
      <c r="B15">
        <v>24002</v>
      </c>
      <c r="C15">
        <v>1</v>
      </c>
      <c r="D15">
        <v>62</v>
      </c>
      <c r="E15">
        <v>196</v>
      </c>
      <c r="F15" t="s">
        <v>912</v>
      </c>
      <c r="G15" t="s">
        <v>597</v>
      </c>
      <c r="H15">
        <v>14</v>
      </c>
    </row>
    <row r="16" spans="1:8" x14ac:dyDescent="0.25">
      <c r="A16" t="s">
        <v>552</v>
      </c>
      <c r="B16">
        <v>22012</v>
      </c>
      <c r="C16">
        <v>29</v>
      </c>
      <c r="D16">
        <v>62</v>
      </c>
      <c r="E16">
        <v>196</v>
      </c>
      <c r="F16" t="s">
        <v>914</v>
      </c>
      <c r="G16" t="s">
        <v>593</v>
      </c>
      <c r="H16">
        <v>4</v>
      </c>
    </row>
    <row r="17" spans="1:8" x14ac:dyDescent="0.25">
      <c r="A17" t="s">
        <v>552</v>
      </c>
      <c r="B17">
        <v>22035</v>
      </c>
      <c r="C17">
        <v>1</v>
      </c>
      <c r="D17">
        <v>62</v>
      </c>
      <c r="E17">
        <v>196</v>
      </c>
      <c r="F17" t="s">
        <v>912</v>
      </c>
      <c r="G17" t="s">
        <v>598</v>
      </c>
      <c r="H17">
        <v>28</v>
      </c>
    </row>
    <row r="18" spans="1:8" x14ac:dyDescent="0.25">
      <c r="A18" t="s">
        <v>552</v>
      </c>
      <c r="B18">
        <v>23012</v>
      </c>
      <c r="C18">
        <v>79</v>
      </c>
      <c r="D18">
        <v>62</v>
      </c>
      <c r="E18">
        <v>196</v>
      </c>
      <c r="F18" t="s">
        <v>912</v>
      </c>
      <c r="G18" t="s">
        <v>599</v>
      </c>
      <c r="H18">
        <v>8</v>
      </c>
    </row>
    <row r="19" spans="1:8" x14ac:dyDescent="0.25">
      <c r="A19" t="s">
        <v>552</v>
      </c>
      <c r="B19">
        <v>23023</v>
      </c>
      <c r="C19">
        <v>6</v>
      </c>
      <c r="D19">
        <v>62</v>
      </c>
      <c r="E19">
        <v>196</v>
      </c>
      <c r="F19" t="s">
        <v>913</v>
      </c>
      <c r="G19" t="s">
        <v>589</v>
      </c>
      <c r="H19">
        <v>2</v>
      </c>
    </row>
    <row r="20" spans="1:8" x14ac:dyDescent="0.25">
      <c r="A20" t="s">
        <v>552</v>
      </c>
      <c r="B20">
        <v>23023</v>
      </c>
      <c r="C20">
        <v>7</v>
      </c>
      <c r="D20">
        <v>62</v>
      </c>
      <c r="E20">
        <v>196</v>
      </c>
      <c r="F20" t="s">
        <v>913</v>
      </c>
      <c r="G20" t="s">
        <v>589</v>
      </c>
      <c r="H20">
        <v>3</v>
      </c>
    </row>
    <row r="21" spans="1:8" x14ac:dyDescent="0.25">
      <c r="A21" t="s">
        <v>552</v>
      </c>
      <c r="B21">
        <v>23023</v>
      </c>
      <c r="C21">
        <v>8</v>
      </c>
      <c r="D21">
        <v>62</v>
      </c>
      <c r="E21">
        <v>196</v>
      </c>
      <c r="F21" t="s">
        <v>913</v>
      </c>
      <c r="G21" t="s">
        <v>589</v>
      </c>
      <c r="H21">
        <v>3</v>
      </c>
    </row>
    <row r="22" spans="1:8" x14ac:dyDescent="0.25">
      <c r="A22" t="s">
        <v>552</v>
      </c>
      <c r="B22">
        <v>23023</v>
      </c>
      <c r="C22">
        <v>11</v>
      </c>
      <c r="D22">
        <v>60</v>
      </c>
      <c r="E22">
        <v>196</v>
      </c>
      <c r="F22" t="s">
        <v>913</v>
      </c>
      <c r="G22" t="s">
        <v>589</v>
      </c>
      <c r="H22">
        <v>29</v>
      </c>
    </row>
    <row r="23" spans="1:8" x14ac:dyDescent="0.25">
      <c r="A23" t="s">
        <v>552</v>
      </c>
      <c r="B23">
        <v>23023</v>
      </c>
      <c r="C23">
        <v>2</v>
      </c>
      <c r="D23" s="21">
        <v>62</v>
      </c>
      <c r="E23" s="21">
        <v>196</v>
      </c>
      <c r="F23" t="s">
        <v>913</v>
      </c>
      <c r="G23" t="s">
        <v>600</v>
      </c>
      <c r="H23">
        <v>0</v>
      </c>
    </row>
    <row r="24" spans="1:8" x14ac:dyDescent="0.25">
      <c r="A24" t="s">
        <v>552</v>
      </c>
      <c r="B24">
        <v>23023</v>
      </c>
      <c r="C24">
        <v>4</v>
      </c>
      <c r="D24">
        <v>62</v>
      </c>
      <c r="E24">
        <v>168</v>
      </c>
      <c r="F24" t="s">
        <v>913</v>
      </c>
      <c r="G24" t="s">
        <v>593</v>
      </c>
      <c r="H24">
        <v>33</v>
      </c>
    </row>
    <row r="25" spans="1:8" x14ac:dyDescent="0.25">
      <c r="A25" t="s">
        <v>552</v>
      </c>
      <c r="B25">
        <v>23025</v>
      </c>
      <c r="C25">
        <v>1</v>
      </c>
      <c r="D25">
        <v>62</v>
      </c>
      <c r="E25" s="22">
        <v>196</v>
      </c>
      <c r="F25" t="s">
        <v>914</v>
      </c>
      <c r="G25" t="s">
        <v>601</v>
      </c>
      <c r="H25">
        <v>3</v>
      </c>
    </row>
    <row r="26" spans="1:8" x14ac:dyDescent="0.25">
      <c r="A26" t="s">
        <v>552</v>
      </c>
      <c r="B26">
        <v>24003</v>
      </c>
      <c r="C26">
        <v>10</v>
      </c>
      <c r="D26">
        <v>51</v>
      </c>
      <c r="E26">
        <v>196</v>
      </c>
      <c r="F26" t="s">
        <v>914</v>
      </c>
      <c r="G26" t="s">
        <v>602</v>
      </c>
      <c r="H26">
        <v>2</v>
      </c>
    </row>
    <row r="27" spans="1:8" x14ac:dyDescent="0.25">
      <c r="A27" t="s">
        <v>552</v>
      </c>
      <c r="B27">
        <v>24010</v>
      </c>
      <c r="C27">
        <v>5</v>
      </c>
      <c r="D27">
        <v>62</v>
      </c>
      <c r="E27">
        <v>196</v>
      </c>
      <c r="F27" t="s">
        <v>914</v>
      </c>
      <c r="G27" t="s">
        <v>593</v>
      </c>
      <c r="H27">
        <v>28</v>
      </c>
    </row>
    <row r="28" spans="1:8" x14ac:dyDescent="0.25">
      <c r="A28" t="s">
        <v>552</v>
      </c>
      <c r="B28">
        <v>24010</v>
      </c>
      <c r="C28">
        <v>12</v>
      </c>
      <c r="D28">
        <v>62</v>
      </c>
      <c r="E28">
        <v>196</v>
      </c>
      <c r="F28" t="s">
        <v>914</v>
      </c>
      <c r="G28" t="s">
        <v>603</v>
      </c>
      <c r="H28">
        <v>28</v>
      </c>
    </row>
    <row r="29" spans="1:8" x14ac:dyDescent="0.25">
      <c r="A29" t="s">
        <v>552</v>
      </c>
      <c r="B29">
        <v>24015</v>
      </c>
      <c r="C29">
        <v>1</v>
      </c>
      <c r="D29">
        <v>62</v>
      </c>
      <c r="E29">
        <v>196</v>
      </c>
      <c r="F29" t="s">
        <v>912</v>
      </c>
      <c r="G29" t="s">
        <v>604</v>
      </c>
      <c r="H29">
        <v>26</v>
      </c>
    </row>
    <row r="30" spans="1:8" x14ac:dyDescent="0.25">
      <c r="A30" t="s">
        <v>552</v>
      </c>
      <c r="B30">
        <v>24021</v>
      </c>
      <c r="C30">
        <v>6</v>
      </c>
      <c r="D30">
        <v>62</v>
      </c>
      <c r="E30">
        <v>196</v>
      </c>
      <c r="F30" t="s">
        <v>912</v>
      </c>
      <c r="G30" t="s">
        <v>605</v>
      </c>
      <c r="H30">
        <v>25</v>
      </c>
    </row>
    <row r="31" spans="1:8" x14ac:dyDescent="0.25">
      <c r="A31" t="s">
        <v>552</v>
      </c>
      <c r="B31">
        <v>24021</v>
      </c>
      <c r="C31">
        <v>14</v>
      </c>
      <c r="D31">
        <v>62</v>
      </c>
      <c r="E31">
        <v>196</v>
      </c>
      <c r="F31" t="s">
        <v>912</v>
      </c>
      <c r="G31" t="s">
        <v>605</v>
      </c>
      <c r="H31">
        <v>25</v>
      </c>
    </row>
    <row r="32" spans="1:8" x14ac:dyDescent="0.25">
      <c r="A32" t="s">
        <v>552</v>
      </c>
      <c r="B32">
        <v>24021</v>
      </c>
      <c r="C32">
        <v>17</v>
      </c>
      <c r="D32">
        <v>62</v>
      </c>
      <c r="E32">
        <v>196</v>
      </c>
      <c r="F32" t="s">
        <v>912</v>
      </c>
      <c r="G32" t="s">
        <v>605</v>
      </c>
      <c r="H32">
        <v>25</v>
      </c>
    </row>
    <row r="33" spans="1:8" x14ac:dyDescent="0.25">
      <c r="A33" t="s">
        <v>552</v>
      </c>
      <c r="B33">
        <v>24021</v>
      </c>
      <c r="C33">
        <v>15</v>
      </c>
      <c r="D33">
        <v>62</v>
      </c>
      <c r="E33">
        <v>196</v>
      </c>
      <c r="F33" t="s">
        <v>912</v>
      </c>
      <c r="G33" t="s">
        <v>605</v>
      </c>
      <c r="H33">
        <v>25</v>
      </c>
    </row>
    <row r="34" spans="1:8" x14ac:dyDescent="0.25">
      <c r="A34" t="s">
        <v>552</v>
      </c>
      <c r="B34">
        <v>24023</v>
      </c>
      <c r="C34">
        <v>3</v>
      </c>
      <c r="D34">
        <v>62</v>
      </c>
      <c r="E34">
        <v>196</v>
      </c>
      <c r="F34" t="s">
        <v>912</v>
      </c>
      <c r="G34" t="s">
        <v>607</v>
      </c>
      <c r="H34">
        <v>5</v>
      </c>
    </row>
    <row r="35" spans="1:8" x14ac:dyDescent="0.25">
      <c r="A35" t="s">
        <v>552</v>
      </c>
      <c r="B35">
        <v>24010</v>
      </c>
      <c r="C35">
        <v>4</v>
      </c>
      <c r="D35" s="21">
        <v>62</v>
      </c>
      <c r="E35" s="21">
        <v>196</v>
      </c>
      <c r="F35" t="s">
        <v>912</v>
      </c>
      <c r="G35" t="s">
        <v>593</v>
      </c>
      <c r="H35">
        <v>28</v>
      </c>
    </row>
    <row r="36" spans="1:8" x14ac:dyDescent="0.25">
      <c r="A36" t="s">
        <v>552</v>
      </c>
      <c r="B36">
        <v>24024</v>
      </c>
      <c r="C36">
        <v>26</v>
      </c>
      <c r="D36">
        <v>50</v>
      </c>
      <c r="E36">
        <v>196</v>
      </c>
      <c r="F36" t="s">
        <v>912</v>
      </c>
      <c r="G36" t="s">
        <v>608</v>
      </c>
      <c r="H36">
        <v>30</v>
      </c>
    </row>
    <row r="37" spans="1:8" x14ac:dyDescent="0.25">
      <c r="A37" t="s">
        <v>552</v>
      </c>
      <c r="B37">
        <v>24024</v>
      </c>
      <c r="C37">
        <v>27</v>
      </c>
      <c r="D37">
        <v>50</v>
      </c>
      <c r="E37">
        <v>196</v>
      </c>
      <c r="F37" t="s">
        <v>912</v>
      </c>
      <c r="G37" t="s">
        <v>608</v>
      </c>
      <c r="H37">
        <v>31</v>
      </c>
    </row>
    <row r="38" spans="1:8" x14ac:dyDescent="0.25">
      <c r="A38" t="s">
        <v>552</v>
      </c>
      <c r="B38">
        <v>24024</v>
      </c>
      <c r="C38">
        <v>17</v>
      </c>
      <c r="D38">
        <v>50</v>
      </c>
      <c r="E38">
        <v>196</v>
      </c>
      <c r="F38" t="s">
        <v>912</v>
      </c>
      <c r="G38" t="s">
        <v>594</v>
      </c>
      <c r="H38">
        <v>34</v>
      </c>
    </row>
    <row r="39" spans="1:8" x14ac:dyDescent="0.25">
      <c r="A39" t="s">
        <v>552</v>
      </c>
      <c r="B39">
        <v>24024</v>
      </c>
      <c r="C39">
        <v>22</v>
      </c>
      <c r="D39">
        <v>50</v>
      </c>
      <c r="E39">
        <v>196</v>
      </c>
      <c r="F39" t="s">
        <v>912</v>
      </c>
      <c r="G39" t="s">
        <v>594</v>
      </c>
      <c r="H39">
        <v>34</v>
      </c>
    </row>
    <row r="40" spans="1:8" x14ac:dyDescent="0.25">
      <c r="A40" t="s">
        <v>552</v>
      </c>
      <c r="B40">
        <v>24024</v>
      </c>
      <c r="C40">
        <v>11</v>
      </c>
      <c r="D40">
        <v>50</v>
      </c>
      <c r="E40">
        <v>196</v>
      </c>
      <c r="F40" t="s">
        <v>912</v>
      </c>
      <c r="G40" t="s">
        <v>594</v>
      </c>
      <c r="H40">
        <v>34</v>
      </c>
    </row>
    <row r="41" spans="1:8" x14ac:dyDescent="0.25">
      <c r="A41" t="s">
        <v>552</v>
      </c>
      <c r="B41">
        <v>24024</v>
      </c>
      <c r="C41">
        <v>25</v>
      </c>
      <c r="D41">
        <v>50</v>
      </c>
      <c r="E41">
        <v>196</v>
      </c>
      <c r="F41" t="s">
        <v>912</v>
      </c>
      <c r="G41" t="s">
        <v>594</v>
      </c>
      <c r="H41">
        <v>33</v>
      </c>
    </row>
    <row r="42" spans="1:8" x14ac:dyDescent="0.25">
      <c r="A42" t="s">
        <v>552</v>
      </c>
      <c r="B42">
        <v>24024</v>
      </c>
      <c r="C42">
        <v>29</v>
      </c>
      <c r="D42">
        <v>51</v>
      </c>
      <c r="E42">
        <v>196</v>
      </c>
      <c r="F42" t="s">
        <v>914</v>
      </c>
      <c r="G42" t="s">
        <v>609</v>
      </c>
      <c r="H42">
        <v>32</v>
      </c>
    </row>
    <row r="43" spans="1:8" x14ac:dyDescent="0.25">
      <c r="A43" t="s">
        <v>552</v>
      </c>
      <c r="B43">
        <v>24024</v>
      </c>
      <c r="C43">
        <v>30</v>
      </c>
      <c r="D43">
        <v>51</v>
      </c>
      <c r="E43">
        <v>196</v>
      </c>
      <c r="F43" t="s">
        <v>914</v>
      </c>
      <c r="G43" t="s">
        <v>609</v>
      </c>
      <c r="H43">
        <v>30</v>
      </c>
    </row>
    <row r="44" spans="1:8" x14ac:dyDescent="0.25">
      <c r="A44" t="s">
        <v>552</v>
      </c>
      <c r="B44">
        <v>24024</v>
      </c>
      <c r="C44">
        <v>28</v>
      </c>
      <c r="D44">
        <v>51</v>
      </c>
      <c r="E44">
        <v>196</v>
      </c>
      <c r="F44" t="s">
        <v>914</v>
      </c>
      <c r="G44" t="s">
        <v>609</v>
      </c>
      <c r="H44">
        <v>32</v>
      </c>
    </row>
    <row r="45" spans="1:8" x14ac:dyDescent="0.25">
      <c r="A45" t="s">
        <v>552</v>
      </c>
      <c r="B45">
        <v>24025</v>
      </c>
      <c r="C45">
        <v>1</v>
      </c>
      <c r="D45">
        <v>62</v>
      </c>
      <c r="E45">
        <v>196</v>
      </c>
      <c r="F45" t="s">
        <v>912</v>
      </c>
      <c r="G45" t="s">
        <v>610</v>
      </c>
      <c r="H45">
        <v>1</v>
      </c>
    </row>
    <row r="46" spans="1:8" x14ac:dyDescent="0.25">
      <c r="A46" t="s">
        <v>552</v>
      </c>
      <c r="B46">
        <v>24028</v>
      </c>
      <c r="C46">
        <v>3</v>
      </c>
      <c r="D46">
        <v>62</v>
      </c>
      <c r="E46">
        <v>196</v>
      </c>
      <c r="F46" t="s">
        <v>912</v>
      </c>
      <c r="G46" t="s">
        <v>595</v>
      </c>
      <c r="H46">
        <v>25</v>
      </c>
    </row>
    <row r="47" spans="1:8" x14ac:dyDescent="0.25">
      <c r="A47" t="s">
        <v>552</v>
      </c>
      <c r="B47">
        <v>24028</v>
      </c>
      <c r="C47">
        <v>4</v>
      </c>
      <c r="D47">
        <v>62</v>
      </c>
      <c r="E47">
        <v>196</v>
      </c>
      <c r="F47" t="s">
        <v>912</v>
      </c>
      <c r="G47" t="s">
        <v>595</v>
      </c>
      <c r="H47">
        <v>15</v>
      </c>
    </row>
    <row r="48" spans="1:8" x14ac:dyDescent="0.25">
      <c r="A48" t="s">
        <v>552</v>
      </c>
      <c r="B48">
        <v>24028</v>
      </c>
      <c r="C48">
        <v>1</v>
      </c>
      <c r="D48">
        <v>62</v>
      </c>
      <c r="E48">
        <v>196</v>
      </c>
      <c r="F48" t="s">
        <v>912</v>
      </c>
      <c r="G48" t="s">
        <v>596</v>
      </c>
      <c r="H48">
        <v>3</v>
      </c>
    </row>
    <row r="49" spans="1:8" x14ac:dyDescent="0.25">
      <c r="A49" t="s">
        <v>552</v>
      </c>
      <c r="B49">
        <v>25011</v>
      </c>
      <c r="C49">
        <v>1</v>
      </c>
      <c r="D49">
        <v>62</v>
      </c>
      <c r="E49">
        <v>196</v>
      </c>
      <c r="F49" t="s">
        <v>912</v>
      </c>
      <c r="G49" t="s">
        <v>611</v>
      </c>
      <c r="H49">
        <v>30</v>
      </c>
    </row>
    <row r="50" spans="1:8" x14ac:dyDescent="0.25">
      <c r="A50" t="s">
        <v>552</v>
      </c>
      <c r="B50">
        <v>22035</v>
      </c>
      <c r="C50">
        <v>3</v>
      </c>
      <c r="D50">
        <v>62</v>
      </c>
      <c r="E50">
        <v>168</v>
      </c>
      <c r="F50" t="s">
        <v>912</v>
      </c>
      <c r="G50" t="s">
        <v>598</v>
      </c>
      <c r="H50">
        <v>25</v>
      </c>
    </row>
    <row r="51" spans="1:8" x14ac:dyDescent="0.25">
      <c r="A51" t="s">
        <v>552</v>
      </c>
      <c r="B51">
        <v>23023</v>
      </c>
      <c r="C51">
        <v>3</v>
      </c>
      <c r="D51">
        <v>62</v>
      </c>
      <c r="E51">
        <v>168</v>
      </c>
      <c r="F51" t="s">
        <v>914</v>
      </c>
      <c r="G51" t="s">
        <v>593</v>
      </c>
      <c r="H51">
        <v>32</v>
      </c>
    </row>
    <row r="52" spans="1:8" x14ac:dyDescent="0.25">
      <c r="A52" t="s">
        <v>552</v>
      </c>
      <c r="B52">
        <v>22035</v>
      </c>
      <c r="C52">
        <v>3</v>
      </c>
      <c r="D52">
        <v>62</v>
      </c>
      <c r="E52">
        <v>168</v>
      </c>
      <c r="F52" t="s">
        <v>912</v>
      </c>
      <c r="G52" t="s">
        <v>598</v>
      </c>
      <c r="H52">
        <v>30</v>
      </c>
    </row>
    <row r="53" spans="1:8" x14ac:dyDescent="0.25">
      <c r="A53" t="s">
        <v>552</v>
      </c>
      <c r="B53">
        <v>25006</v>
      </c>
      <c r="C53">
        <v>1</v>
      </c>
      <c r="D53">
        <v>62</v>
      </c>
      <c r="E53">
        <v>196</v>
      </c>
      <c r="F53" t="s">
        <v>912</v>
      </c>
      <c r="G53" t="s">
        <v>612</v>
      </c>
      <c r="H53">
        <v>25</v>
      </c>
    </row>
    <row r="54" spans="1:8" x14ac:dyDescent="0.25">
      <c r="A54" t="s">
        <v>552</v>
      </c>
      <c r="B54">
        <v>22035</v>
      </c>
      <c r="C54">
        <v>6</v>
      </c>
      <c r="D54">
        <v>62</v>
      </c>
      <c r="E54">
        <v>168</v>
      </c>
      <c r="F54" t="s">
        <v>912</v>
      </c>
      <c r="G54" t="s">
        <v>598</v>
      </c>
      <c r="H54">
        <v>25</v>
      </c>
    </row>
    <row r="55" spans="1:8" x14ac:dyDescent="0.25">
      <c r="A55" t="s">
        <v>552</v>
      </c>
      <c r="B55">
        <v>22035</v>
      </c>
      <c r="C55">
        <v>2</v>
      </c>
      <c r="D55">
        <v>62</v>
      </c>
      <c r="E55">
        <v>168</v>
      </c>
      <c r="F55" t="s">
        <v>912</v>
      </c>
      <c r="G55" t="s">
        <v>598</v>
      </c>
      <c r="H55">
        <v>30</v>
      </c>
    </row>
    <row r="56" spans="1:8" x14ac:dyDescent="0.25">
      <c r="A56" t="s">
        <v>552</v>
      </c>
      <c r="B56">
        <v>23019</v>
      </c>
      <c r="C56">
        <v>1</v>
      </c>
      <c r="D56">
        <v>62</v>
      </c>
      <c r="E56">
        <v>196</v>
      </c>
      <c r="F56" t="s">
        <v>912</v>
      </c>
      <c r="G56" t="s">
        <v>613</v>
      </c>
      <c r="H56">
        <v>1</v>
      </c>
    </row>
    <row r="57" spans="1:8" x14ac:dyDescent="0.25">
      <c r="A57" t="s">
        <v>553</v>
      </c>
      <c r="B57">
        <v>24006</v>
      </c>
      <c r="C57">
        <v>8</v>
      </c>
      <c r="D57">
        <v>62</v>
      </c>
      <c r="E57">
        <v>196</v>
      </c>
      <c r="F57" t="s">
        <v>912</v>
      </c>
      <c r="G57" t="s">
        <v>593</v>
      </c>
      <c r="H57">
        <v>16</v>
      </c>
    </row>
    <row r="58" spans="1:8" x14ac:dyDescent="0.25">
      <c r="A58" t="s">
        <v>553</v>
      </c>
      <c r="B58">
        <v>20030</v>
      </c>
      <c r="C58">
        <v>72</v>
      </c>
      <c r="D58">
        <v>62</v>
      </c>
      <c r="E58">
        <v>196</v>
      </c>
      <c r="F58" t="s">
        <v>912</v>
      </c>
      <c r="G58" t="s">
        <v>614</v>
      </c>
      <c r="H58">
        <v>2</v>
      </c>
    </row>
    <row r="59" spans="1:8" x14ac:dyDescent="0.25">
      <c r="A59" t="s">
        <v>553</v>
      </c>
      <c r="B59">
        <v>21010</v>
      </c>
      <c r="C59">
        <v>13</v>
      </c>
      <c r="D59" s="21">
        <v>62</v>
      </c>
      <c r="E59" s="21">
        <v>196</v>
      </c>
      <c r="F59" t="s">
        <v>912</v>
      </c>
      <c r="G59" t="s">
        <v>615</v>
      </c>
      <c r="H59">
        <v>5</v>
      </c>
    </row>
    <row r="60" spans="1:8" x14ac:dyDescent="0.25">
      <c r="A60" t="s">
        <v>553</v>
      </c>
      <c r="B60">
        <v>21047</v>
      </c>
      <c r="C60">
        <v>12</v>
      </c>
      <c r="D60">
        <v>62</v>
      </c>
      <c r="E60">
        <v>196</v>
      </c>
      <c r="F60" t="s">
        <v>914</v>
      </c>
      <c r="G60" t="s">
        <v>615</v>
      </c>
      <c r="H60">
        <v>20</v>
      </c>
    </row>
    <row r="61" spans="1:8" x14ac:dyDescent="0.25">
      <c r="A61" t="s">
        <v>553</v>
      </c>
      <c r="B61">
        <v>22035</v>
      </c>
      <c r="C61">
        <v>4</v>
      </c>
      <c r="D61" s="21">
        <v>62</v>
      </c>
      <c r="E61" s="21">
        <v>196</v>
      </c>
      <c r="F61" t="s">
        <v>912</v>
      </c>
      <c r="G61" t="s">
        <v>616</v>
      </c>
      <c r="H61">
        <v>25</v>
      </c>
    </row>
    <row r="62" spans="1:8" x14ac:dyDescent="0.25">
      <c r="A62" t="s">
        <v>553</v>
      </c>
      <c r="B62">
        <v>22035</v>
      </c>
      <c r="C62">
        <v>8</v>
      </c>
      <c r="D62">
        <v>62</v>
      </c>
      <c r="E62">
        <v>196</v>
      </c>
      <c r="F62" t="s">
        <v>912</v>
      </c>
      <c r="G62" t="s">
        <v>617</v>
      </c>
      <c r="H62">
        <v>22</v>
      </c>
    </row>
    <row r="63" spans="1:8" x14ac:dyDescent="0.25">
      <c r="A63" t="s">
        <v>553</v>
      </c>
      <c r="B63">
        <v>23004</v>
      </c>
      <c r="C63">
        <v>1</v>
      </c>
      <c r="D63">
        <v>62</v>
      </c>
      <c r="E63">
        <v>196</v>
      </c>
      <c r="F63" t="s">
        <v>912</v>
      </c>
      <c r="G63" t="s">
        <v>618</v>
      </c>
      <c r="H63">
        <v>6</v>
      </c>
    </row>
    <row r="64" spans="1:8" x14ac:dyDescent="0.25">
      <c r="A64" t="s">
        <v>553</v>
      </c>
      <c r="B64">
        <v>23007</v>
      </c>
      <c r="C64">
        <v>1</v>
      </c>
      <c r="D64">
        <v>62</v>
      </c>
      <c r="E64">
        <v>196</v>
      </c>
      <c r="F64" t="s">
        <v>912</v>
      </c>
      <c r="G64" t="s">
        <v>619</v>
      </c>
      <c r="H64">
        <v>4</v>
      </c>
    </row>
    <row r="65" spans="1:8" x14ac:dyDescent="0.25">
      <c r="A65" t="s">
        <v>553</v>
      </c>
      <c r="B65">
        <v>23012</v>
      </c>
      <c r="C65">
        <v>55</v>
      </c>
      <c r="D65" s="21">
        <v>62</v>
      </c>
      <c r="E65" s="21">
        <v>196</v>
      </c>
      <c r="F65" t="s">
        <v>912</v>
      </c>
      <c r="G65" t="s">
        <v>620</v>
      </c>
      <c r="H65">
        <v>43</v>
      </c>
    </row>
    <row r="66" spans="1:8" x14ac:dyDescent="0.25">
      <c r="A66" t="s">
        <v>553</v>
      </c>
      <c r="B66">
        <v>23023</v>
      </c>
      <c r="C66">
        <v>1</v>
      </c>
      <c r="D66">
        <v>62</v>
      </c>
      <c r="E66">
        <v>196</v>
      </c>
      <c r="F66" t="s">
        <v>913</v>
      </c>
      <c r="G66" t="s">
        <v>589</v>
      </c>
      <c r="H66">
        <v>8</v>
      </c>
    </row>
    <row r="67" spans="1:8" x14ac:dyDescent="0.25">
      <c r="A67" t="s">
        <v>553</v>
      </c>
      <c r="B67">
        <v>23030</v>
      </c>
      <c r="C67">
        <v>5</v>
      </c>
      <c r="D67">
        <v>62</v>
      </c>
      <c r="E67">
        <v>196</v>
      </c>
      <c r="F67" t="s">
        <v>912</v>
      </c>
      <c r="G67" t="s">
        <v>621</v>
      </c>
      <c r="H67">
        <v>2</v>
      </c>
    </row>
    <row r="68" spans="1:8" x14ac:dyDescent="0.25">
      <c r="A68" t="s">
        <v>553</v>
      </c>
      <c r="B68">
        <v>23035</v>
      </c>
      <c r="C68">
        <v>2</v>
      </c>
      <c r="F68" t="s">
        <v>912</v>
      </c>
      <c r="G68" t="s">
        <v>598</v>
      </c>
      <c r="H68">
        <v>30</v>
      </c>
    </row>
    <row r="69" spans="1:8" x14ac:dyDescent="0.25">
      <c r="A69" t="s">
        <v>553</v>
      </c>
      <c r="B69">
        <v>24003</v>
      </c>
      <c r="C69">
        <v>3</v>
      </c>
      <c r="D69">
        <v>62</v>
      </c>
      <c r="E69">
        <v>196</v>
      </c>
      <c r="F69" t="s">
        <v>912</v>
      </c>
      <c r="G69" t="s">
        <v>622</v>
      </c>
      <c r="H69">
        <v>4</v>
      </c>
    </row>
    <row r="70" spans="1:8" x14ac:dyDescent="0.25">
      <c r="A70" t="s">
        <v>553</v>
      </c>
      <c r="B70">
        <v>24007</v>
      </c>
      <c r="C70">
        <v>2</v>
      </c>
      <c r="D70">
        <v>62</v>
      </c>
      <c r="E70">
        <v>196</v>
      </c>
      <c r="F70" t="s">
        <v>912</v>
      </c>
      <c r="G70" t="s">
        <v>623</v>
      </c>
      <c r="H70">
        <v>2</v>
      </c>
    </row>
    <row r="71" spans="1:8" x14ac:dyDescent="0.25">
      <c r="A71" t="s">
        <v>553</v>
      </c>
      <c r="B71">
        <v>24010</v>
      </c>
      <c r="C71">
        <v>1</v>
      </c>
      <c r="D71">
        <v>62</v>
      </c>
      <c r="E71">
        <v>196</v>
      </c>
      <c r="F71" t="s">
        <v>914</v>
      </c>
      <c r="G71" t="s">
        <v>593</v>
      </c>
      <c r="H71">
        <v>28</v>
      </c>
    </row>
    <row r="72" spans="1:8" x14ac:dyDescent="0.25">
      <c r="A72" t="s">
        <v>553</v>
      </c>
      <c r="B72">
        <v>24010</v>
      </c>
      <c r="C72">
        <v>3</v>
      </c>
      <c r="D72">
        <v>62</v>
      </c>
      <c r="E72">
        <v>196</v>
      </c>
      <c r="F72" t="s">
        <v>914</v>
      </c>
      <c r="G72" t="s">
        <v>593</v>
      </c>
      <c r="H72">
        <v>28</v>
      </c>
    </row>
    <row r="73" spans="1:8" x14ac:dyDescent="0.25">
      <c r="A73" t="s">
        <v>553</v>
      </c>
      <c r="B73">
        <v>24010</v>
      </c>
      <c r="C73">
        <v>2</v>
      </c>
      <c r="D73">
        <v>62</v>
      </c>
      <c r="E73">
        <v>196</v>
      </c>
      <c r="F73" t="s">
        <v>912</v>
      </c>
      <c r="G73" t="s">
        <v>593</v>
      </c>
      <c r="H73">
        <v>28</v>
      </c>
    </row>
    <row r="74" spans="1:8" x14ac:dyDescent="0.25">
      <c r="A74" t="s">
        <v>553</v>
      </c>
      <c r="B74">
        <v>24015</v>
      </c>
      <c r="C74">
        <v>2</v>
      </c>
      <c r="D74" s="21">
        <v>62</v>
      </c>
      <c r="E74" s="21">
        <v>196</v>
      </c>
      <c r="F74" t="s">
        <v>912</v>
      </c>
      <c r="G74" t="s">
        <v>604</v>
      </c>
      <c r="H74">
        <v>26</v>
      </c>
    </row>
    <row r="75" spans="1:8" x14ac:dyDescent="0.25">
      <c r="A75" t="s">
        <v>553</v>
      </c>
      <c r="B75">
        <v>24016</v>
      </c>
      <c r="C75">
        <v>11</v>
      </c>
      <c r="D75">
        <v>62</v>
      </c>
      <c r="E75">
        <v>196</v>
      </c>
      <c r="F75" t="s">
        <v>912</v>
      </c>
      <c r="G75" t="s">
        <v>624</v>
      </c>
      <c r="H75">
        <v>4</v>
      </c>
    </row>
    <row r="76" spans="1:8" x14ac:dyDescent="0.25">
      <c r="A76" t="s">
        <v>553</v>
      </c>
      <c r="B76">
        <v>24019</v>
      </c>
      <c r="C76">
        <v>8</v>
      </c>
      <c r="D76">
        <v>62</v>
      </c>
      <c r="E76">
        <v>196</v>
      </c>
      <c r="F76" t="s">
        <v>912</v>
      </c>
      <c r="G76" t="s">
        <v>624</v>
      </c>
      <c r="H76">
        <v>6</v>
      </c>
    </row>
    <row r="77" spans="1:8" x14ac:dyDescent="0.25">
      <c r="A77" t="s">
        <v>553</v>
      </c>
      <c r="B77">
        <v>24021</v>
      </c>
      <c r="C77">
        <v>20</v>
      </c>
      <c r="D77">
        <v>62</v>
      </c>
      <c r="E77">
        <v>196</v>
      </c>
      <c r="F77" t="s">
        <v>912</v>
      </c>
      <c r="G77" t="s">
        <v>605</v>
      </c>
      <c r="H77">
        <v>25</v>
      </c>
    </row>
    <row r="78" spans="1:8" x14ac:dyDescent="0.25">
      <c r="A78" t="s">
        <v>553</v>
      </c>
      <c r="B78">
        <v>24021</v>
      </c>
      <c r="C78">
        <v>19</v>
      </c>
      <c r="D78">
        <v>62</v>
      </c>
      <c r="E78">
        <v>196</v>
      </c>
      <c r="F78" t="s">
        <v>912</v>
      </c>
      <c r="G78" t="s">
        <v>605</v>
      </c>
      <c r="H78">
        <v>25</v>
      </c>
    </row>
    <row r="79" spans="1:8" x14ac:dyDescent="0.25">
      <c r="A79" t="s">
        <v>553</v>
      </c>
      <c r="B79">
        <v>24021</v>
      </c>
      <c r="C79">
        <v>13</v>
      </c>
      <c r="D79">
        <v>62</v>
      </c>
      <c r="E79">
        <v>196</v>
      </c>
      <c r="F79" t="s">
        <v>912</v>
      </c>
      <c r="G79" t="s">
        <v>605</v>
      </c>
      <c r="H79">
        <v>25</v>
      </c>
    </row>
    <row r="80" spans="1:8" x14ac:dyDescent="0.25">
      <c r="A80" t="s">
        <v>553</v>
      </c>
      <c r="B80">
        <v>24021</v>
      </c>
      <c r="C80">
        <v>5</v>
      </c>
      <c r="D80">
        <v>62</v>
      </c>
      <c r="E80">
        <v>196</v>
      </c>
      <c r="F80" t="s">
        <v>912</v>
      </c>
      <c r="G80" t="s">
        <v>605</v>
      </c>
      <c r="H80">
        <v>25</v>
      </c>
    </row>
    <row r="81" spans="1:8" x14ac:dyDescent="0.25">
      <c r="A81" t="s">
        <v>553</v>
      </c>
      <c r="B81">
        <v>24021</v>
      </c>
      <c r="C81">
        <v>7</v>
      </c>
      <c r="D81">
        <v>62</v>
      </c>
      <c r="E81">
        <v>196</v>
      </c>
      <c r="F81" t="s">
        <v>912</v>
      </c>
      <c r="G81" t="s">
        <v>605</v>
      </c>
      <c r="H81">
        <v>25</v>
      </c>
    </row>
    <row r="82" spans="1:8" x14ac:dyDescent="0.25">
      <c r="A82" t="s">
        <v>553</v>
      </c>
      <c r="B82">
        <v>24021</v>
      </c>
      <c r="C82">
        <v>12</v>
      </c>
      <c r="D82">
        <v>62</v>
      </c>
      <c r="E82">
        <v>196</v>
      </c>
      <c r="F82" t="s">
        <v>912</v>
      </c>
      <c r="G82" t="s">
        <v>605</v>
      </c>
      <c r="H82">
        <v>25</v>
      </c>
    </row>
    <row r="83" spans="1:8" x14ac:dyDescent="0.25">
      <c r="A83" t="s">
        <v>553</v>
      </c>
      <c r="B83">
        <v>24021</v>
      </c>
      <c r="C83">
        <v>22</v>
      </c>
      <c r="D83">
        <v>62</v>
      </c>
      <c r="E83">
        <v>196</v>
      </c>
      <c r="F83" t="s">
        <v>912</v>
      </c>
      <c r="G83" t="s">
        <v>605</v>
      </c>
      <c r="H83">
        <v>25</v>
      </c>
    </row>
    <row r="84" spans="1:8" x14ac:dyDescent="0.25">
      <c r="A84" t="s">
        <v>553</v>
      </c>
      <c r="B84">
        <v>24021</v>
      </c>
      <c r="C84">
        <v>25</v>
      </c>
      <c r="D84">
        <v>62</v>
      </c>
      <c r="E84">
        <v>196</v>
      </c>
      <c r="F84" t="s">
        <v>912</v>
      </c>
      <c r="G84" t="s">
        <v>625</v>
      </c>
      <c r="H84">
        <v>25</v>
      </c>
    </row>
    <row r="85" spans="1:8" x14ac:dyDescent="0.25">
      <c r="A85" t="s">
        <v>553</v>
      </c>
      <c r="B85">
        <v>24021</v>
      </c>
      <c r="C85">
        <v>28</v>
      </c>
      <c r="D85">
        <v>62</v>
      </c>
      <c r="E85">
        <v>196</v>
      </c>
      <c r="F85" t="s">
        <v>912</v>
      </c>
      <c r="G85" t="s">
        <v>625</v>
      </c>
      <c r="H85">
        <v>25</v>
      </c>
    </row>
    <row r="86" spans="1:8" x14ac:dyDescent="0.25">
      <c r="A86" t="s">
        <v>553</v>
      </c>
      <c r="B86">
        <v>24021</v>
      </c>
      <c r="C86">
        <v>29</v>
      </c>
      <c r="D86">
        <v>62</v>
      </c>
      <c r="E86">
        <v>196</v>
      </c>
      <c r="F86" t="s">
        <v>912</v>
      </c>
      <c r="G86" t="s">
        <v>625</v>
      </c>
      <c r="H86">
        <v>18</v>
      </c>
    </row>
    <row r="87" spans="1:8" x14ac:dyDescent="0.25">
      <c r="A87" t="s">
        <v>553</v>
      </c>
      <c r="B87">
        <v>24021</v>
      </c>
      <c r="C87">
        <v>30</v>
      </c>
      <c r="D87">
        <v>62</v>
      </c>
      <c r="E87">
        <v>196</v>
      </c>
      <c r="F87" t="s">
        <v>912</v>
      </c>
      <c r="G87" t="s">
        <v>625</v>
      </c>
      <c r="H87">
        <v>25</v>
      </c>
    </row>
    <row r="88" spans="1:8" x14ac:dyDescent="0.25">
      <c r="A88" t="s">
        <v>553</v>
      </c>
      <c r="B88">
        <v>24021</v>
      </c>
      <c r="C88">
        <v>26</v>
      </c>
      <c r="D88">
        <v>62</v>
      </c>
      <c r="E88">
        <v>196</v>
      </c>
      <c r="F88" t="s">
        <v>912</v>
      </c>
      <c r="G88" t="s">
        <v>625</v>
      </c>
      <c r="H88">
        <v>25</v>
      </c>
    </row>
    <row r="89" spans="1:8" x14ac:dyDescent="0.25">
      <c r="A89" t="s">
        <v>553</v>
      </c>
      <c r="B89">
        <v>24022</v>
      </c>
      <c r="C89">
        <v>4</v>
      </c>
      <c r="D89" s="21">
        <v>62</v>
      </c>
      <c r="E89" s="21">
        <v>196</v>
      </c>
      <c r="F89" t="s">
        <v>912</v>
      </c>
      <c r="G89" t="s">
        <v>606</v>
      </c>
      <c r="H89">
        <v>14</v>
      </c>
    </row>
    <row r="90" spans="1:8" x14ac:dyDescent="0.25">
      <c r="A90" t="s">
        <v>553</v>
      </c>
      <c r="B90">
        <v>24022</v>
      </c>
      <c r="C90">
        <v>3</v>
      </c>
      <c r="D90">
        <v>62</v>
      </c>
      <c r="E90">
        <v>196</v>
      </c>
      <c r="F90" t="s">
        <v>912</v>
      </c>
      <c r="G90" t="s">
        <v>626</v>
      </c>
      <c r="H90">
        <v>3</v>
      </c>
    </row>
    <row r="91" spans="1:8" x14ac:dyDescent="0.25">
      <c r="A91" t="s">
        <v>553</v>
      </c>
      <c r="B91">
        <v>24023</v>
      </c>
      <c r="C91">
        <v>2</v>
      </c>
      <c r="D91">
        <v>62</v>
      </c>
      <c r="E91">
        <v>196</v>
      </c>
      <c r="F91" t="s">
        <v>912</v>
      </c>
      <c r="G91" t="s">
        <v>627</v>
      </c>
      <c r="H91">
        <v>9</v>
      </c>
    </row>
    <row r="92" spans="1:8" x14ac:dyDescent="0.25">
      <c r="A92" t="s">
        <v>553</v>
      </c>
      <c r="B92">
        <v>24024</v>
      </c>
      <c r="C92">
        <v>3</v>
      </c>
      <c r="D92">
        <v>62</v>
      </c>
      <c r="E92">
        <v>196</v>
      </c>
      <c r="F92" t="s">
        <v>912</v>
      </c>
      <c r="G92" t="s">
        <v>594</v>
      </c>
      <c r="H92">
        <v>25</v>
      </c>
    </row>
    <row r="93" spans="1:8" x14ac:dyDescent="0.25">
      <c r="A93" t="s">
        <v>553</v>
      </c>
      <c r="B93">
        <v>24024</v>
      </c>
      <c r="C93">
        <v>21</v>
      </c>
      <c r="D93">
        <v>50</v>
      </c>
      <c r="E93">
        <v>196</v>
      </c>
      <c r="F93" t="s">
        <v>912</v>
      </c>
      <c r="G93" t="s">
        <v>594</v>
      </c>
      <c r="H93">
        <v>8</v>
      </c>
    </row>
    <row r="94" spans="1:8" x14ac:dyDescent="0.25">
      <c r="A94" t="s">
        <v>553</v>
      </c>
      <c r="B94">
        <v>24024</v>
      </c>
      <c r="C94">
        <v>15</v>
      </c>
      <c r="D94">
        <v>50</v>
      </c>
      <c r="E94">
        <v>196</v>
      </c>
      <c r="F94" t="s">
        <v>912</v>
      </c>
      <c r="G94" t="s">
        <v>594</v>
      </c>
      <c r="H94">
        <v>19</v>
      </c>
    </row>
    <row r="95" spans="1:8" x14ac:dyDescent="0.25">
      <c r="A95" t="s">
        <v>553</v>
      </c>
      <c r="B95">
        <v>24024</v>
      </c>
      <c r="C95">
        <v>9</v>
      </c>
      <c r="D95">
        <v>62</v>
      </c>
      <c r="E95">
        <v>196</v>
      </c>
      <c r="F95" t="s">
        <v>912</v>
      </c>
      <c r="G95" t="s">
        <v>593</v>
      </c>
      <c r="H95">
        <v>17</v>
      </c>
    </row>
    <row r="96" spans="1:8" x14ac:dyDescent="0.25">
      <c r="A96" t="s">
        <v>553</v>
      </c>
      <c r="B96">
        <v>24024</v>
      </c>
      <c r="C96">
        <v>4</v>
      </c>
      <c r="D96">
        <v>62</v>
      </c>
      <c r="E96">
        <v>196</v>
      </c>
      <c r="F96" t="s">
        <v>912</v>
      </c>
      <c r="G96" t="s">
        <v>594</v>
      </c>
      <c r="H96">
        <v>25</v>
      </c>
    </row>
    <row r="97" spans="1:8" x14ac:dyDescent="0.25">
      <c r="A97" t="s">
        <v>553</v>
      </c>
      <c r="B97">
        <v>24024</v>
      </c>
      <c r="C97">
        <v>8</v>
      </c>
      <c r="D97">
        <v>62</v>
      </c>
      <c r="E97">
        <v>196</v>
      </c>
      <c r="F97" t="s">
        <v>912</v>
      </c>
      <c r="G97" t="s">
        <v>628</v>
      </c>
      <c r="H97">
        <v>1</v>
      </c>
    </row>
    <row r="98" spans="1:8" x14ac:dyDescent="0.25">
      <c r="A98" t="s">
        <v>553</v>
      </c>
      <c r="B98">
        <v>24027</v>
      </c>
      <c r="C98">
        <v>3</v>
      </c>
      <c r="D98">
        <v>62</v>
      </c>
      <c r="E98">
        <v>196</v>
      </c>
      <c r="F98" t="s">
        <v>914</v>
      </c>
      <c r="G98" t="s">
        <v>629</v>
      </c>
      <c r="H98">
        <v>29</v>
      </c>
    </row>
    <row r="99" spans="1:8" x14ac:dyDescent="0.25">
      <c r="A99" t="s">
        <v>553</v>
      </c>
      <c r="B99">
        <v>24027</v>
      </c>
      <c r="C99">
        <v>2</v>
      </c>
      <c r="D99">
        <v>62</v>
      </c>
      <c r="E99">
        <v>196</v>
      </c>
      <c r="F99" t="s">
        <v>914</v>
      </c>
      <c r="G99" t="s">
        <v>630</v>
      </c>
      <c r="H99">
        <v>30</v>
      </c>
    </row>
    <row r="100" spans="1:8" x14ac:dyDescent="0.25">
      <c r="A100" t="s">
        <v>553</v>
      </c>
      <c r="B100">
        <v>24028</v>
      </c>
      <c r="C100">
        <v>13</v>
      </c>
      <c r="D100">
        <v>62</v>
      </c>
      <c r="E100">
        <v>132</v>
      </c>
      <c r="F100" t="s">
        <v>912</v>
      </c>
      <c r="G100" t="s">
        <v>595</v>
      </c>
      <c r="H100">
        <v>44</v>
      </c>
    </row>
    <row r="101" spans="1:8" x14ac:dyDescent="0.25">
      <c r="A101" t="s">
        <v>553</v>
      </c>
      <c r="B101">
        <v>24028</v>
      </c>
      <c r="C101">
        <v>19</v>
      </c>
      <c r="D101">
        <v>62</v>
      </c>
      <c r="E101">
        <v>132</v>
      </c>
      <c r="F101" t="s">
        <v>912</v>
      </c>
      <c r="G101" t="s">
        <v>595</v>
      </c>
      <c r="H101">
        <v>44</v>
      </c>
    </row>
    <row r="102" spans="1:8" x14ac:dyDescent="0.25">
      <c r="A102" t="s">
        <v>553</v>
      </c>
      <c r="B102">
        <v>24028</v>
      </c>
      <c r="C102">
        <v>14</v>
      </c>
      <c r="D102">
        <v>62</v>
      </c>
      <c r="E102">
        <v>132</v>
      </c>
      <c r="F102" t="s">
        <v>912</v>
      </c>
      <c r="G102" t="s">
        <v>595</v>
      </c>
      <c r="H102">
        <v>44</v>
      </c>
    </row>
    <row r="103" spans="1:8" x14ac:dyDescent="0.25">
      <c r="A103" t="s">
        <v>553</v>
      </c>
      <c r="B103">
        <v>24028</v>
      </c>
      <c r="C103">
        <v>17</v>
      </c>
      <c r="D103">
        <v>62</v>
      </c>
      <c r="E103">
        <v>132</v>
      </c>
      <c r="F103" t="s">
        <v>912</v>
      </c>
      <c r="G103" t="s">
        <v>595</v>
      </c>
      <c r="H103">
        <v>44</v>
      </c>
    </row>
    <row r="104" spans="1:8" x14ac:dyDescent="0.25">
      <c r="A104" t="s">
        <v>553</v>
      </c>
      <c r="B104">
        <v>24028</v>
      </c>
      <c r="C104">
        <v>31</v>
      </c>
      <c r="D104">
        <v>62</v>
      </c>
      <c r="E104">
        <v>196</v>
      </c>
      <c r="F104" t="s">
        <v>912</v>
      </c>
      <c r="G104" t="s">
        <v>595</v>
      </c>
      <c r="H104">
        <v>10</v>
      </c>
    </row>
    <row r="105" spans="1:8" x14ac:dyDescent="0.25">
      <c r="A105" t="s">
        <v>553</v>
      </c>
      <c r="B105">
        <v>24028</v>
      </c>
      <c r="C105">
        <v>34</v>
      </c>
      <c r="D105">
        <v>62</v>
      </c>
      <c r="E105">
        <v>196</v>
      </c>
      <c r="F105" t="s">
        <v>912</v>
      </c>
      <c r="G105" t="s">
        <v>595</v>
      </c>
      <c r="H105">
        <v>25</v>
      </c>
    </row>
    <row r="106" spans="1:8" x14ac:dyDescent="0.25">
      <c r="A106" t="s">
        <v>553</v>
      </c>
      <c r="B106">
        <v>24028</v>
      </c>
      <c r="C106">
        <v>35</v>
      </c>
      <c r="D106">
        <v>62</v>
      </c>
      <c r="E106">
        <v>196</v>
      </c>
      <c r="F106" t="s">
        <v>912</v>
      </c>
      <c r="G106" t="s">
        <v>595</v>
      </c>
      <c r="H106">
        <v>12</v>
      </c>
    </row>
    <row r="107" spans="1:8" x14ac:dyDescent="0.25">
      <c r="A107" t="s">
        <v>553</v>
      </c>
      <c r="B107">
        <v>24028</v>
      </c>
      <c r="C107">
        <v>30</v>
      </c>
      <c r="D107">
        <v>62</v>
      </c>
      <c r="E107">
        <v>196</v>
      </c>
      <c r="F107" t="s">
        <v>912</v>
      </c>
      <c r="G107" t="s">
        <v>595</v>
      </c>
      <c r="H107">
        <v>25</v>
      </c>
    </row>
    <row r="108" spans="1:8" x14ac:dyDescent="0.25">
      <c r="A108" t="s">
        <v>553</v>
      </c>
      <c r="B108">
        <v>25006</v>
      </c>
      <c r="C108">
        <v>14</v>
      </c>
      <c r="D108" s="21">
        <v>62</v>
      </c>
      <c r="E108" s="21">
        <v>196</v>
      </c>
      <c r="F108" t="s">
        <v>912</v>
      </c>
      <c r="G108" t="s">
        <v>612</v>
      </c>
      <c r="H108">
        <v>25</v>
      </c>
    </row>
    <row r="109" spans="1:8" x14ac:dyDescent="0.25">
      <c r="A109" t="s">
        <v>553</v>
      </c>
      <c r="B109">
        <v>25011</v>
      </c>
      <c r="C109">
        <v>2</v>
      </c>
      <c r="D109">
        <v>62</v>
      </c>
      <c r="E109">
        <v>196</v>
      </c>
      <c r="F109" t="s">
        <v>912</v>
      </c>
      <c r="G109" t="s">
        <v>611</v>
      </c>
      <c r="H109">
        <v>30</v>
      </c>
    </row>
    <row r="110" spans="1:8" x14ac:dyDescent="0.25">
      <c r="A110" t="s">
        <v>553</v>
      </c>
      <c r="B110">
        <v>25011</v>
      </c>
      <c r="C110">
        <v>3</v>
      </c>
      <c r="D110">
        <v>62</v>
      </c>
      <c r="E110">
        <v>196</v>
      </c>
      <c r="F110" t="s">
        <v>912</v>
      </c>
      <c r="G110" t="s">
        <v>611</v>
      </c>
      <c r="H110">
        <v>31</v>
      </c>
    </row>
    <row r="111" spans="1:8" x14ac:dyDescent="0.25">
      <c r="A111" t="s">
        <v>553</v>
      </c>
      <c r="B111">
        <v>23016</v>
      </c>
      <c r="C111">
        <v>2</v>
      </c>
      <c r="D111">
        <v>62</v>
      </c>
      <c r="E111">
        <v>196</v>
      </c>
      <c r="F111" t="s">
        <v>914</v>
      </c>
      <c r="G111" t="s">
        <v>631</v>
      </c>
      <c r="H111">
        <v>2</v>
      </c>
    </row>
    <row r="112" spans="1:8" x14ac:dyDescent="0.25">
      <c r="A112" t="s">
        <v>553</v>
      </c>
      <c r="B112">
        <v>24010</v>
      </c>
      <c r="C112">
        <v>13</v>
      </c>
      <c r="D112">
        <v>62</v>
      </c>
      <c r="E112">
        <v>196</v>
      </c>
      <c r="F112" t="s">
        <v>912</v>
      </c>
      <c r="G112" t="s">
        <v>603</v>
      </c>
      <c r="H112">
        <v>3</v>
      </c>
    </row>
    <row r="113" spans="1:8" x14ac:dyDescent="0.25">
      <c r="A113" t="s">
        <v>553</v>
      </c>
      <c r="B113">
        <v>23026</v>
      </c>
      <c r="C113">
        <v>2</v>
      </c>
      <c r="D113">
        <v>50</v>
      </c>
      <c r="E113">
        <v>196</v>
      </c>
      <c r="F113" t="s">
        <v>912</v>
      </c>
      <c r="G113" t="s">
        <v>590</v>
      </c>
      <c r="H113">
        <v>3</v>
      </c>
    </row>
    <row r="114" spans="1:8" x14ac:dyDescent="0.25">
      <c r="A114" t="s">
        <v>553</v>
      </c>
      <c r="B114">
        <v>24021</v>
      </c>
      <c r="C114">
        <v>24</v>
      </c>
      <c r="D114">
        <v>62</v>
      </c>
      <c r="E114">
        <v>196</v>
      </c>
      <c r="F114" t="s">
        <v>912</v>
      </c>
      <c r="G114" t="s">
        <v>625</v>
      </c>
      <c r="H114">
        <v>20</v>
      </c>
    </row>
    <row r="115" spans="1:8" x14ac:dyDescent="0.25">
      <c r="A115" t="s">
        <v>553</v>
      </c>
      <c r="B115">
        <v>22035</v>
      </c>
      <c r="C115">
        <v>15</v>
      </c>
      <c r="D115">
        <v>62</v>
      </c>
      <c r="E115">
        <v>196</v>
      </c>
      <c r="F115" t="s">
        <v>912</v>
      </c>
      <c r="G115" t="s">
        <v>617</v>
      </c>
      <c r="H115">
        <v>22</v>
      </c>
    </row>
    <row r="116" spans="1:8" x14ac:dyDescent="0.25">
      <c r="A116" t="s">
        <v>553</v>
      </c>
      <c r="B116">
        <v>23012</v>
      </c>
      <c r="C116">
        <v>64</v>
      </c>
      <c r="D116">
        <v>62</v>
      </c>
      <c r="E116">
        <v>196</v>
      </c>
      <c r="F116" t="s">
        <v>912</v>
      </c>
      <c r="G116" t="s">
        <v>632</v>
      </c>
      <c r="H116">
        <v>3</v>
      </c>
    </row>
    <row r="117" spans="1:8" x14ac:dyDescent="0.25">
      <c r="A117" t="s">
        <v>553</v>
      </c>
      <c r="B117">
        <v>23023</v>
      </c>
      <c r="C117">
        <v>5</v>
      </c>
      <c r="D117">
        <v>62</v>
      </c>
      <c r="E117">
        <v>196</v>
      </c>
      <c r="F117" t="s">
        <v>913</v>
      </c>
      <c r="G117" t="s">
        <v>593</v>
      </c>
      <c r="H117">
        <v>29</v>
      </c>
    </row>
    <row r="118" spans="1:8" x14ac:dyDescent="0.25">
      <c r="A118" t="s">
        <v>553</v>
      </c>
      <c r="B118">
        <v>23023</v>
      </c>
      <c r="C118">
        <v>12</v>
      </c>
      <c r="D118">
        <v>62</v>
      </c>
      <c r="E118">
        <v>196</v>
      </c>
      <c r="F118" t="s">
        <v>912</v>
      </c>
      <c r="G118" t="s">
        <v>600</v>
      </c>
      <c r="H118">
        <v>2</v>
      </c>
    </row>
    <row r="119" spans="1:8" x14ac:dyDescent="0.25">
      <c r="A119" t="s">
        <v>553</v>
      </c>
      <c r="B119">
        <v>24006</v>
      </c>
      <c r="C119">
        <v>2</v>
      </c>
      <c r="D119">
        <v>62</v>
      </c>
      <c r="E119">
        <v>196</v>
      </c>
      <c r="F119" t="s">
        <v>912</v>
      </c>
      <c r="G119" t="s">
        <v>633</v>
      </c>
      <c r="H119">
        <v>6</v>
      </c>
    </row>
    <row r="120" spans="1:8" x14ac:dyDescent="0.25">
      <c r="A120" t="s">
        <v>553</v>
      </c>
      <c r="B120">
        <v>22035</v>
      </c>
      <c r="C120">
        <v>10</v>
      </c>
      <c r="D120">
        <v>62</v>
      </c>
      <c r="E120">
        <v>196</v>
      </c>
      <c r="F120" t="s">
        <v>912</v>
      </c>
      <c r="G120" t="s">
        <v>617</v>
      </c>
      <c r="H120">
        <v>30</v>
      </c>
    </row>
    <row r="121" spans="1:8" x14ac:dyDescent="0.25">
      <c r="A121" t="s">
        <v>553</v>
      </c>
      <c r="B121">
        <v>22035</v>
      </c>
      <c r="C121">
        <v>9</v>
      </c>
      <c r="D121">
        <v>62</v>
      </c>
      <c r="E121">
        <v>196</v>
      </c>
      <c r="F121" t="s">
        <v>912</v>
      </c>
      <c r="G121" t="s">
        <v>617</v>
      </c>
      <c r="H121">
        <v>30</v>
      </c>
    </row>
    <row r="122" spans="1:8" x14ac:dyDescent="0.25">
      <c r="A122" t="s">
        <v>553</v>
      </c>
      <c r="B122">
        <v>24024</v>
      </c>
      <c r="C122">
        <v>5</v>
      </c>
      <c r="D122">
        <v>62</v>
      </c>
      <c r="E122">
        <v>196</v>
      </c>
      <c r="F122" t="s">
        <v>912</v>
      </c>
      <c r="G122" t="s">
        <v>594</v>
      </c>
      <c r="H122">
        <v>24</v>
      </c>
    </row>
    <row r="123" spans="1:8" x14ac:dyDescent="0.25">
      <c r="A123" t="s">
        <v>553</v>
      </c>
      <c r="B123">
        <v>21047</v>
      </c>
      <c r="C123">
        <v>13</v>
      </c>
      <c r="D123">
        <v>62</v>
      </c>
      <c r="E123">
        <v>196</v>
      </c>
      <c r="F123" t="s">
        <v>912</v>
      </c>
      <c r="G123" t="s">
        <v>615</v>
      </c>
      <c r="H123">
        <v>5</v>
      </c>
    </row>
    <row r="124" spans="1:8" x14ac:dyDescent="0.25">
      <c r="A124" t="s">
        <v>553</v>
      </c>
      <c r="B124">
        <v>24012</v>
      </c>
      <c r="C124">
        <v>11</v>
      </c>
      <c r="D124">
        <v>62</v>
      </c>
      <c r="E124">
        <v>196</v>
      </c>
      <c r="F124" t="s">
        <v>912</v>
      </c>
      <c r="G124" t="s">
        <v>634</v>
      </c>
      <c r="H124">
        <v>5</v>
      </c>
    </row>
    <row r="125" spans="1:8" x14ac:dyDescent="0.25">
      <c r="A125" t="s">
        <v>554</v>
      </c>
      <c r="B125">
        <v>24028</v>
      </c>
      <c r="C125">
        <v>20</v>
      </c>
      <c r="D125">
        <v>62</v>
      </c>
      <c r="E125">
        <v>132</v>
      </c>
      <c r="F125" t="s">
        <v>912</v>
      </c>
      <c r="G125" t="s">
        <v>595</v>
      </c>
      <c r="H125">
        <v>44</v>
      </c>
    </row>
    <row r="126" spans="1:8" x14ac:dyDescent="0.25">
      <c r="A126" t="s">
        <v>554</v>
      </c>
      <c r="B126">
        <v>24028</v>
      </c>
      <c r="C126">
        <v>7</v>
      </c>
      <c r="D126">
        <v>62</v>
      </c>
      <c r="E126">
        <v>132</v>
      </c>
      <c r="F126" t="s">
        <v>912</v>
      </c>
      <c r="G126" t="s">
        <v>595</v>
      </c>
      <c r="H126">
        <v>43</v>
      </c>
    </row>
    <row r="127" spans="1:8" x14ac:dyDescent="0.25">
      <c r="A127" t="s">
        <v>554</v>
      </c>
      <c r="B127">
        <v>24028</v>
      </c>
      <c r="C127">
        <v>5</v>
      </c>
      <c r="D127">
        <v>62</v>
      </c>
      <c r="E127">
        <v>132</v>
      </c>
      <c r="F127" t="s">
        <v>912</v>
      </c>
      <c r="G127" t="s">
        <v>595</v>
      </c>
      <c r="H127">
        <v>44</v>
      </c>
    </row>
    <row r="128" spans="1:8" x14ac:dyDescent="0.25">
      <c r="A128" t="s">
        <v>554</v>
      </c>
      <c r="B128">
        <v>24028</v>
      </c>
      <c r="C128">
        <v>25</v>
      </c>
      <c r="D128">
        <v>62</v>
      </c>
      <c r="E128">
        <v>196</v>
      </c>
      <c r="F128" t="s">
        <v>912</v>
      </c>
      <c r="G128" t="s">
        <v>595</v>
      </c>
      <c r="H128">
        <v>24</v>
      </c>
    </row>
    <row r="129" spans="1:8" x14ac:dyDescent="0.25">
      <c r="A129" t="s">
        <v>554</v>
      </c>
      <c r="B129">
        <v>23016</v>
      </c>
      <c r="C129">
        <v>5</v>
      </c>
      <c r="D129">
        <v>62</v>
      </c>
      <c r="E129">
        <v>196</v>
      </c>
      <c r="F129" t="s">
        <v>914</v>
      </c>
      <c r="G129" t="s">
        <v>635</v>
      </c>
      <c r="H129">
        <v>16</v>
      </c>
    </row>
    <row r="130" spans="1:8" x14ac:dyDescent="0.25">
      <c r="A130" t="s">
        <v>554</v>
      </c>
      <c r="B130">
        <v>24028</v>
      </c>
      <c r="C130">
        <v>28</v>
      </c>
      <c r="D130">
        <v>62</v>
      </c>
      <c r="E130">
        <v>196</v>
      </c>
      <c r="F130" t="s">
        <v>912</v>
      </c>
      <c r="G130" t="s">
        <v>595</v>
      </c>
      <c r="H130">
        <v>25</v>
      </c>
    </row>
    <row r="131" spans="1:8" x14ac:dyDescent="0.25">
      <c r="A131" t="s">
        <v>554</v>
      </c>
      <c r="B131">
        <v>24028</v>
      </c>
      <c r="C131">
        <v>26</v>
      </c>
      <c r="D131">
        <v>62</v>
      </c>
      <c r="E131">
        <v>196</v>
      </c>
      <c r="F131" t="s">
        <v>912</v>
      </c>
      <c r="G131" t="s">
        <v>595</v>
      </c>
      <c r="H131">
        <v>25</v>
      </c>
    </row>
    <row r="132" spans="1:8" x14ac:dyDescent="0.25">
      <c r="A132" t="s">
        <v>554</v>
      </c>
      <c r="B132">
        <v>24028</v>
      </c>
      <c r="C132">
        <v>12</v>
      </c>
      <c r="D132">
        <v>62</v>
      </c>
      <c r="E132">
        <v>132</v>
      </c>
      <c r="F132" t="s">
        <v>912</v>
      </c>
      <c r="G132" t="s">
        <v>595</v>
      </c>
      <c r="H132">
        <v>13</v>
      </c>
    </row>
    <row r="133" spans="1:8" x14ac:dyDescent="0.25">
      <c r="A133" t="s">
        <v>554</v>
      </c>
      <c r="B133">
        <v>23012</v>
      </c>
      <c r="C133">
        <v>54</v>
      </c>
      <c r="D133">
        <v>62</v>
      </c>
      <c r="E133">
        <v>168</v>
      </c>
      <c r="F133" t="s">
        <v>912</v>
      </c>
      <c r="G133" t="s">
        <v>636</v>
      </c>
      <c r="H133">
        <v>4</v>
      </c>
    </row>
    <row r="134" spans="1:8" x14ac:dyDescent="0.25">
      <c r="A134" t="s">
        <v>554</v>
      </c>
      <c r="B134">
        <v>22022</v>
      </c>
      <c r="C134">
        <v>2</v>
      </c>
      <c r="D134">
        <v>62</v>
      </c>
      <c r="E134">
        <v>168</v>
      </c>
      <c r="F134" t="s">
        <v>912</v>
      </c>
      <c r="G134" t="s">
        <v>637</v>
      </c>
      <c r="H134">
        <v>3</v>
      </c>
    </row>
    <row r="135" spans="1:8" x14ac:dyDescent="0.25">
      <c r="A135" t="s">
        <v>554</v>
      </c>
      <c r="B135">
        <v>23012</v>
      </c>
      <c r="C135">
        <v>53</v>
      </c>
      <c r="D135">
        <v>62</v>
      </c>
      <c r="E135">
        <v>168</v>
      </c>
      <c r="F135" t="s">
        <v>912</v>
      </c>
      <c r="G135" t="s">
        <v>638</v>
      </c>
      <c r="H135">
        <v>30</v>
      </c>
    </row>
    <row r="136" spans="1:8" x14ac:dyDescent="0.25">
      <c r="A136" t="s">
        <v>554</v>
      </c>
      <c r="B136">
        <v>25004</v>
      </c>
      <c r="C136">
        <v>5</v>
      </c>
      <c r="D136">
        <v>62</v>
      </c>
      <c r="E136">
        <v>196</v>
      </c>
      <c r="F136" t="s">
        <v>912</v>
      </c>
      <c r="G136" t="s">
        <v>639</v>
      </c>
      <c r="H136">
        <v>1</v>
      </c>
    </row>
    <row r="137" spans="1:8" x14ac:dyDescent="0.25">
      <c r="A137" t="s">
        <v>554</v>
      </c>
      <c r="B137">
        <v>25004</v>
      </c>
      <c r="C137">
        <v>2</v>
      </c>
      <c r="D137">
        <v>62</v>
      </c>
      <c r="E137">
        <v>196</v>
      </c>
      <c r="F137" t="s">
        <v>912</v>
      </c>
      <c r="G137" t="s">
        <v>640</v>
      </c>
      <c r="H137">
        <v>3</v>
      </c>
    </row>
    <row r="138" spans="1:8" x14ac:dyDescent="0.25">
      <c r="A138" t="s">
        <v>554</v>
      </c>
      <c r="B138">
        <v>24024</v>
      </c>
      <c r="C138">
        <v>16</v>
      </c>
      <c r="D138">
        <v>50</v>
      </c>
      <c r="E138">
        <v>196</v>
      </c>
      <c r="F138" t="s">
        <v>912</v>
      </c>
      <c r="G138" t="s">
        <v>594</v>
      </c>
      <c r="H138">
        <v>34</v>
      </c>
    </row>
    <row r="139" spans="1:8" x14ac:dyDescent="0.25">
      <c r="A139" t="s">
        <v>554</v>
      </c>
      <c r="B139">
        <v>24024</v>
      </c>
      <c r="C139">
        <v>23</v>
      </c>
      <c r="D139">
        <v>50</v>
      </c>
      <c r="E139">
        <v>196</v>
      </c>
      <c r="F139" t="s">
        <v>912</v>
      </c>
      <c r="G139" t="s">
        <v>594</v>
      </c>
      <c r="H139">
        <v>34</v>
      </c>
    </row>
    <row r="140" spans="1:8" x14ac:dyDescent="0.25">
      <c r="A140" t="s">
        <v>554</v>
      </c>
      <c r="B140">
        <v>24010</v>
      </c>
      <c r="C140">
        <v>10</v>
      </c>
      <c r="D140">
        <v>50</v>
      </c>
      <c r="E140">
        <v>196</v>
      </c>
      <c r="F140" t="s">
        <v>914</v>
      </c>
      <c r="G140" t="s">
        <v>593</v>
      </c>
      <c r="H140">
        <v>39</v>
      </c>
    </row>
    <row r="141" spans="1:8" x14ac:dyDescent="0.25">
      <c r="A141" t="s">
        <v>554</v>
      </c>
      <c r="B141">
        <v>24024</v>
      </c>
      <c r="C141">
        <v>24</v>
      </c>
      <c r="D141">
        <v>50</v>
      </c>
      <c r="E141">
        <v>196</v>
      </c>
      <c r="F141" t="s">
        <v>912</v>
      </c>
      <c r="G141" t="s">
        <v>594</v>
      </c>
      <c r="H141">
        <v>33</v>
      </c>
    </row>
    <row r="142" spans="1:8" x14ac:dyDescent="0.25">
      <c r="A142" t="s">
        <v>554</v>
      </c>
      <c r="B142">
        <v>24024</v>
      </c>
      <c r="C142">
        <v>14</v>
      </c>
      <c r="D142">
        <v>50</v>
      </c>
      <c r="E142">
        <v>196</v>
      </c>
      <c r="F142" t="s">
        <v>912</v>
      </c>
      <c r="G142" t="s">
        <v>594</v>
      </c>
      <c r="H142">
        <v>33</v>
      </c>
    </row>
    <row r="143" spans="1:8" x14ac:dyDescent="0.25">
      <c r="A143" t="s">
        <v>554</v>
      </c>
      <c r="B143">
        <v>24024</v>
      </c>
      <c r="C143">
        <v>20</v>
      </c>
      <c r="D143">
        <v>50</v>
      </c>
      <c r="E143">
        <v>196</v>
      </c>
      <c r="F143" t="s">
        <v>912</v>
      </c>
      <c r="G143" t="s">
        <v>594</v>
      </c>
      <c r="H143">
        <v>34</v>
      </c>
    </row>
    <row r="144" spans="1:8" x14ac:dyDescent="0.25">
      <c r="A144" t="s">
        <v>554</v>
      </c>
      <c r="B144">
        <v>24024</v>
      </c>
      <c r="C144">
        <v>12</v>
      </c>
      <c r="D144">
        <v>50</v>
      </c>
      <c r="E144">
        <v>196</v>
      </c>
      <c r="F144" t="s">
        <v>912</v>
      </c>
      <c r="G144" t="s">
        <v>594</v>
      </c>
      <c r="H144">
        <v>34</v>
      </c>
    </row>
    <row r="145" spans="1:8" x14ac:dyDescent="0.25">
      <c r="A145" t="s">
        <v>554</v>
      </c>
      <c r="B145">
        <v>24024</v>
      </c>
      <c r="C145">
        <v>13</v>
      </c>
      <c r="D145">
        <v>50</v>
      </c>
      <c r="E145">
        <v>196</v>
      </c>
      <c r="F145" t="s">
        <v>912</v>
      </c>
      <c r="G145" t="s">
        <v>594</v>
      </c>
      <c r="H145">
        <v>34</v>
      </c>
    </row>
    <row r="146" spans="1:8" x14ac:dyDescent="0.25">
      <c r="A146" t="s">
        <v>554</v>
      </c>
      <c r="B146">
        <v>24010</v>
      </c>
      <c r="C146">
        <v>18</v>
      </c>
      <c r="D146" s="22">
        <v>50</v>
      </c>
      <c r="E146" s="22">
        <v>168</v>
      </c>
      <c r="F146" t="s">
        <v>914</v>
      </c>
      <c r="G146" t="s">
        <v>641</v>
      </c>
      <c r="H146">
        <v>22</v>
      </c>
    </row>
    <row r="147" spans="1:8" x14ac:dyDescent="0.25">
      <c r="A147" t="s">
        <v>554</v>
      </c>
      <c r="B147">
        <v>24010</v>
      </c>
      <c r="C147">
        <v>15</v>
      </c>
      <c r="D147">
        <v>62</v>
      </c>
      <c r="E147">
        <v>196</v>
      </c>
      <c r="F147" t="s">
        <v>914</v>
      </c>
      <c r="G147" t="s">
        <v>603</v>
      </c>
      <c r="H147">
        <v>21</v>
      </c>
    </row>
    <row r="148" spans="1:8" x14ac:dyDescent="0.25">
      <c r="A148" t="s">
        <v>554</v>
      </c>
      <c r="B148">
        <v>24010</v>
      </c>
      <c r="C148">
        <v>6</v>
      </c>
      <c r="D148">
        <v>62</v>
      </c>
      <c r="E148">
        <v>196</v>
      </c>
      <c r="F148" t="s">
        <v>914</v>
      </c>
      <c r="G148" t="s">
        <v>593</v>
      </c>
      <c r="H148">
        <v>21</v>
      </c>
    </row>
    <row r="149" spans="1:8" x14ac:dyDescent="0.25">
      <c r="A149" t="s">
        <v>554</v>
      </c>
      <c r="B149">
        <v>23016</v>
      </c>
      <c r="C149">
        <v>8</v>
      </c>
      <c r="D149">
        <v>50</v>
      </c>
      <c r="E149">
        <v>196</v>
      </c>
      <c r="F149" t="s">
        <v>914</v>
      </c>
      <c r="G149" t="s">
        <v>642</v>
      </c>
      <c r="H149">
        <v>7</v>
      </c>
    </row>
    <row r="150" spans="1:8" x14ac:dyDescent="0.25">
      <c r="A150" t="s">
        <v>554</v>
      </c>
      <c r="B150">
        <v>24010</v>
      </c>
      <c r="C150">
        <v>9</v>
      </c>
      <c r="D150">
        <v>50</v>
      </c>
      <c r="E150">
        <v>196</v>
      </c>
      <c r="F150" t="s">
        <v>914</v>
      </c>
      <c r="G150" t="s">
        <v>593</v>
      </c>
      <c r="H150">
        <v>19</v>
      </c>
    </row>
    <row r="151" spans="1:8" x14ac:dyDescent="0.25">
      <c r="A151" t="s">
        <v>554</v>
      </c>
      <c r="B151">
        <v>23016</v>
      </c>
      <c r="C151">
        <v>3</v>
      </c>
      <c r="D151">
        <v>51</v>
      </c>
      <c r="E151">
        <v>196</v>
      </c>
      <c r="F151" t="s">
        <v>912</v>
      </c>
      <c r="G151" t="s">
        <v>602</v>
      </c>
      <c r="H151">
        <v>2</v>
      </c>
    </row>
    <row r="152" spans="1:8" x14ac:dyDescent="0.25">
      <c r="A152" t="s">
        <v>554</v>
      </c>
      <c r="B152">
        <v>24010</v>
      </c>
      <c r="C152">
        <v>8</v>
      </c>
      <c r="D152">
        <v>50</v>
      </c>
      <c r="E152">
        <v>196</v>
      </c>
      <c r="F152" t="s">
        <v>914</v>
      </c>
      <c r="G152" t="s">
        <v>593</v>
      </c>
      <c r="H152">
        <v>37</v>
      </c>
    </row>
    <row r="153" spans="1:8" x14ac:dyDescent="0.25">
      <c r="A153" t="s">
        <v>554</v>
      </c>
      <c r="B153">
        <v>23009</v>
      </c>
      <c r="C153">
        <v>7</v>
      </c>
      <c r="D153">
        <v>62</v>
      </c>
      <c r="E153">
        <v>196</v>
      </c>
      <c r="F153" t="s">
        <v>912</v>
      </c>
      <c r="G153" t="s">
        <v>605</v>
      </c>
      <c r="H153">
        <v>10</v>
      </c>
    </row>
    <row r="154" spans="1:8" x14ac:dyDescent="0.25">
      <c r="A154" t="s">
        <v>554</v>
      </c>
      <c r="B154">
        <v>25025</v>
      </c>
      <c r="C154">
        <v>4</v>
      </c>
      <c r="D154">
        <v>62</v>
      </c>
      <c r="E154">
        <v>196</v>
      </c>
      <c r="F154" t="s">
        <v>912</v>
      </c>
      <c r="G154" t="s">
        <v>643</v>
      </c>
      <c r="H154">
        <v>25</v>
      </c>
    </row>
    <row r="155" spans="1:8" x14ac:dyDescent="0.25">
      <c r="A155" t="s">
        <v>554</v>
      </c>
      <c r="B155">
        <v>25025</v>
      </c>
      <c r="C155">
        <v>3</v>
      </c>
      <c r="D155">
        <v>62</v>
      </c>
      <c r="E155">
        <v>196</v>
      </c>
      <c r="F155" t="s">
        <v>912</v>
      </c>
      <c r="G155" t="s">
        <v>643</v>
      </c>
      <c r="H155">
        <v>25</v>
      </c>
    </row>
    <row r="156" spans="1:8" x14ac:dyDescent="0.25">
      <c r="A156" t="s">
        <v>554</v>
      </c>
      <c r="B156">
        <v>25025</v>
      </c>
      <c r="C156">
        <v>1</v>
      </c>
      <c r="D156">
        <v>62</v>
      </c>
      <c r="E156">
        <v>196</v>
      </c>
      <c r="F156" t="s">
        <v>912</v>
      </c>
      <c r="G156" t="s">
        <v>643</v>
      </c>
      <c r="H156">
        <v>14</v>
      </c>
    </row>
    <row r="157" spans="1:8" x14ac:dyDescent="0.25">
      <c r="A157" t="s">
        <v>554</v>
      </c>
      <c r="B157">
        <v>25025</v>
      </c>
      <c r="C157">
        <v>2</v>
      </c>
      <c r="D157">
        <v>62</v>
      </c>
      <c r="E157">
        <v>196</v>
      </c>
      <c r="F157" t="s">
        <v>912</v>
      </c>
      <c r="G157" t="s">
        <v>643</v>
      </c>
      <c r="H157">
        <v>26</v>
      </c>
    </row>
    <row r="158" spans="1:8" x14ac:dyDescent="0.25">
      <c r="A158" t="s">
        <v>554</v>
      </c>
      <c r="B158">
        <v>23025</v>
      </c>
      <c r="C158">
        <v>4</v>
      </c>
      <c r="D158">
        <v>62</v>
      </c>
      <c r="E158">
        <v>196</v>
      </c>
      <c r="F158" t="s">
        <v>914</v>
      </c>
      <c r="G158" t="s">
        <v>644</v>
      </c>
      <c r="H158">
        <v>1</v>
      </c>
    </row>
    <row r="159" spans="1:8" x14ac:dyDescent="0.25">
      <c r="A159" t="s">
        <v>554</v>
      </c>
      <c r="B159">
        <v>22030</v>
      </c>
      <c r="C159">
        <v>20</v>
      </c>
      <c r="D159">
        <v>62</v>
      </c>
      <c r="E159">
        <v>196</v>
      </c>
      <c r="F159" t="s">
        <v>912</v>
      </c>
      <c r="G159" t="s">
        <v>645</v>
      </c>
      <c r="H159">
        <v>4</v>
      </c>
    </row>
    <row r="160" spans="1:8" x14ac:dyDescent="0.25">
      <c r="A160" t="s">
        <v>554</v>
      </c>
      <c r="B160">
        <v>22010</v>
      </c>
      <c r="C160">
        <v>6</v>
      </c>
      <c r="D160">
        <v>62</v>
      </c>
      <c r="E160">
        <v>196</v>
      </c>
      <c r="F160" t="s">
        <v>912</v>
      </c>
      <c r="G160" t="s">
        <v>646</v>
      </c>
      <c r="H160">
        <v>8</v>
      </c>
    </row>
    <row r="161" spans="1:8" x14ac:dyDescent="0.25">
      <c r="A161" t="s">
        <v>554</v>
      </c>
      <c r="B161">
        <v>25010</v>
      </c>
      <c r="C161">
        <v>2</v>
      </c>
      <c r="D161">
        <v>62</v>
      </c>
      <c r="E161">
        <v>196</v>
      </c>
      <c r="F161" t="s">
        <v>912</v>
      </c>
      <c r="G161" t="s">
        <v>893</v>
      </c>
      <c r="H161">
        <v>10</v>
      </c>
    </row>
    <row r="162" spans="1:8" x14ac:dyDescent="0.25">
      <c r="A162" t="s">
        <v>554</v>
      </c>
      <c r="B162">
        <v>25010</v>
      </c>
      <c r="C162">
        <v>1</v>
      </c>
      <c r="D162">
        <v>62</v>
      </c>
      <c r="E162">
        <v>196</v>
      </c>
      <c r="F162" t="s">
        <v>912</v>
      </c>
      <c r="G162" t="s">
        <v>893</v>
      </c>
      <c r="H162">
        <v>31</v>
      </c>
    </row>
    <row r="163" spans="1:8" x14ac:dyDescent="0.25">
      <c r="A163" t="s">
        <v>554</v>
      </c>
      <c r="B163">
        <v>24027</v>
      </c>
      <c r="C163">
        <v>1</v>
      </c>
      <c r="D163">
        <v>62</v>
      </c>
      <c r="E163">
        <v>196</v>
      </c>
      <c r="F163" t="s">
        <v>912</v>
      </c>
      <c r="G163" t="s">
        <v>647</v>
      </c>
      <c r="H163">
        <v>6</v>
      </c>
    </row>
    <row r="164" spans="1:8" x14ac:dyDescent="0.25">
      <c r="A164" t="s">
        <v>554</v>
      </c>
      <c r="B164">
        <v>25015</v>
      </c>
      <c r="C164">
        <v>1</v>
      </c>
      <c r="D164">
        <v>62</v>
      </c>
      <c r="E164">
        <v>196</v>
      </c>
      <c r="F164" t="s">
        <v>912</v>
      </c>
      <c r="G164" t="s">
        <v>648</v>
      </c>
      <c r="H164">
        <v>9</v>
      </c>
    </row>
    <row r="165" spans="1:8" x14ac:dyDescent="0.25">
      <c r="A165" t="s">
        <v>554</v>
      </c>
      <c r="B165">
        <v>25021</v>
      </c>
      <c r="C165">
        <v>2</v>
      </c>
      <c r="D165">
        <v>62</v>
      </c>
      <c r="E165">
        <v>196</v>
      </c>
      <c r="F165" t="s">
        <v>912</v>
      </c>
      <c r="G165" t="s">
        <v>649</v>
      </c>
      <c r="H165">
        <v>18</v>
      </c>
    </row>
    <row r="166" spans="1:8" x14ac:dyDescent="0.25">
      <c r="A166" t="s">
        <v>554</v>
      </c>
      <c r="B166">
        <v>23009</v>
      </c>
      <c r="D166">
        <v>62</v>
      </c>
      <c r="E166">
        <v>196</v>
      </c>
      <c r="F166" t="s">
        <v>912</v>
      </c>
      <c r="G166" t="s">
        <v>596</v>
      </c>
      <c r="H166">
        <v>1</v>
      </c>
    </row>
    <row r="167" spans="1:8" x14ac:dyDescent="0.25">
      <c r="A167" t="s">
        <v>554</v>
      </c>
      <c r="B167">
        <v>25021</v>
      </c>
      <c r="C167">
        <v>1</v>
      </c>
      <c r="D167">
        <v>62</v>
      </c>
      <c r="E167">
        <v>196</v>
      </c>
      <c r="F167" t="s">
        <v>912</v>
      </c>
      <c r="G167" t="s">
        <v>649</v>
      </c>
      <c r="H167">
        <v>25</v>
      </c>
    </row>
    <row r="168" spans="1:8" x14ac:dyDescent="0.25">
      <c r="A168" t="s">
        <v>554</v>
      </c>
      <c r="B168">
        <v>24003</v>
      </c>
      <c r="C168">
        <v>1</v>
      </c>
      <c r="D168">
        <v>62</v>
      </c>
      <c r="E168">
        <v>196</v>
      </c>
      <c r="F168" t="s">
        <v>914</v>
      </c>
      <c r="G168" t="s">
        <v>622</v>
      </c>
      <c r="H168">
        <v>1</v>
      </c>
    </row>
    <row r="169" spans="1:8" x14ac:dyDescent="0.25">
      <c r="A169" t="s">
        <v>555</v>
      </c>
      <c r="B169">
        <v>23012</v>
      </c>
      <c r="C169">
        <v>56</v>
      </c>
      <c r="D169">
        <v>62</v>
      </c>
      <c r="E169">
        <v>196</v>
      </c>
      <c r="F169" t="s">
        <v>912</v>
      </c>
      <c r="G169" t="s">
        <v>620</v>
      </c>
      <c r="H169">
        <v>5</v>
      </c>
    </row>
    <row r="170" spans="1:8" x14ac:dyDescent="0.25">
      <c r="A170" t="s">
        <v>555</v>
      </c>
      <c r="B170">
        <v>24028</v>
      </c>
      <c r="C170">
        <v>18</v>
      </c>
      <c r="D170">
        <v>62</v>
      </c>
      <c r="E170">
        <v>196</v>
      </c>
      <c r="F170" t="s">
        <v>912</v>
      </c>
      <c r="G170" t="s">
        <v>595</v>
      </c>
      <c r="H170">
        <v>33</v>
      </c>
    </row>
    <row r="171" spans="1:8" x14ac:dyDescent="0.25">
      <c r="A171" t="s">
        <v>555</v>
      </c>
      <c r="B171">
        <v>23012</v>
      </c>
      <c r="C171">
        <v>57</v>
      </c>
      <c r="D171">
        <v>62</v>
      </c>
      <c r="E171">
        <v>196</v>
      </c>
      <c r="F171" t="s">
        <v>912</v>
      </c>
      <c r="G171" t="s">
        <v>620</v>
      </c>
      <c r="H171">
        <v>9</v>
      </c>
    </row>
    <row r="172" spans="1:8" x14ac:dyDescent="0.25">
      <c r="A172" t="s">
        <v>555</v>
      </c>
      <c r="B172">
        <v>24028</v>
      </c>
      <c r="C172">
        <v>22</v>
      </c>
      <c r="D172">
        <v>62</v>
      </c>
      <c r="E172">
        <v>196</v>
      </c>
      <c r="F172" t="s">
        <v>912</v>
      </c>
      <c r="G172" t="s">
        <v>595</v>
      </c>
      <c r="H172">
        <v>44</v>
      </c>
    </row>
    <row r="173" spans="1:8" x14ac:dyDescent="0.25">
      <c r="A173" t="s">
        <v>555</v>
      </c>
      <c r="B173">
        <v>24021</v>
      </c>
      <c r="C173">
        <v>27</v>
      </c>
      <c r="D173">
        <v>62</v>
      </c>
      <c r="E173">
        <v>196</v>
      </c>
      <c r="F173" t="s">
        <v>912</v>
      </c>
      <c r="G173" t="s">
        <v>648</v>
      </c>
      <c r="H173">
        <v>3</v>
      </c>
    </row>
    <row r="174" spans="1:8" x14ac:dyDescent="0.25">
      <c r="A174" t="s">
        <v>555</v>
      </c>
      <c r="B174">
        <v>22005</v>
      </c>
      <c r="C174">
        <v>2</v>
      </c>
      <c r="D174">
        <v>62</v>
      </c>
      <c r="E174">
        <v>196</v>
      </c>
      <c r="F174" t="s">
        <v>912</v>
      </c>
      <c r="G174" t="s">
        <v>650</v>
      </c>
      <c r="H174">
        <v>7</v>
      </c>
    </row>
    <row r="175" spans="1:8" x14ac:dyDescent="0.25">
      <c r="A175" t="s">
        <v>555</v>
      </c>
      <c r="B175">
        <v>24021</v>
      </c>
      <c r="C175">
        <v>8</v>
      </c>
      <c r="D175">
        <v>62</v>
      </c>
      <c r="E175">
        <v>196</v>
      </c>
      <c r="F175" t="s">
        <v>912</v>
      </c>
      <c r="G175" t="s">
        <v>605</v>
      </c>
      <c r="H175">
        <v>10</v>
      </c>
    </row>
    <row r="176" spans="1:8" x14ac:dyDescent="0.25">
      <c r="A176" t="s">
        <v>555</v>
      </c>
      <c r="B176">
        <v>24021</v>
      </c>
      <c r="C176">
        <v>9</v>
      </c>
      <c r="D176">
        <v>62</v>
      </c>
      <c r="E176">
        <v>196</v>
      </c>
      <c r="F176" t="s">
        <v>912</v>
      </c>
      <c r="G176" t="s">
        <v>605</v>
      </c>
      <c r="H176">
        <v>25</v>
      </c>
    </row>
    <row r="177" spans="1:8" x14ac:dyDescent="0.25">
      <c r="A177" t="s">
        <v>555</v>
      </c>
      <c r="B177">
        <v>24021</v>
      </c>
      <c r="C177">
        <v>21</v>
      </c>
      <c r="D177">
        <v>62</v>
      </c>
      <c r="E177">
        <v>196</v>
      </c>
      <c r="F177" t="s">
        <v>912</v>
      </c>
      <c r="G177" t="s">
        <v>605</v>
      </c>
      <c r="H177">
        <v>25</v>
      </c>
    </row>
    <row r="178" spans="1:8" x14ac:dyDescent="0.25">
      <c r="A178" t="s">
        <v>555</v>
      </c>
      <c r="B178">
        <v>24021</v>
      </c>
      <c r="C178">
        <v>11</v>
      </c>
      <c r="D178">
        <v>62</v>
      </c>
      <c r="E178">
        <v>196</v>
      </c>
      <c r="F178" t="s">
        <v>912</v>
      </c>
      <c r="G178" t="s">
        <v>605</v>
      </c>
      <c r="H178">
        <v>25</v>
      </c>
    </row>
    <row r="179" spans="1:8" x14ac:dyDescent="0.25">
      <c r="A179" t="s">
        <v>555</v>
      </c>
      <c r="B179">
        <v>24021</v>
      </c>
      <c r="C179">
        <v>1</v>
      </c>
      <c r="D179">
        <v>62</v>
      </c>
      <c r="E179">
        <v>196</v>
      </c>
      <c r="F179" t="s">
        <v>912</v>
      </c>
      <c r="G179" t="s">
        <v>605</v>
      </c>
      <c r="H179">
        <v>25</v>
      </c>
    </row>
    <row r="180" spans="1:8" x14ac:dyDescent="0.25">
      <c r="A180" t="s">
        <v>555</v>
      </c>
      <c r="B180">
        <v>24021</v>
      </c>
      <c r="C180">
        <v>10</v>
      </c>
      <c r="D180">
        <v>62</v>
      </c>
      <c r="E180">
        <v>196</v>
      </c>
      <c r="F180" t="s">
        <v>912</v>
      </c>
      <c r="G180" t="s">
        <v>605</v>
      </c>
      <c r="H180">
        <v>25</v>
      </c>
    </row>
    <row r="181" spans="1:8" x14ac:dyDescent="0.25">
      <c r="A181" t="s">
        <v>555</v>
      </c>
      <c r="B181">
        <v>24028</v>
      </c>
      <c r="C181">
        <v>27</v>
      </c>
      <c r="D181">
        <v>62</v>
      </c>
      <c r="E181">
        <v>196</v>
      </c>
      <c r="F181" t="s">
        <v>912</v>
      </c>
      <c r="G181" t="s">
        <v>595</v>
      </c>
      <c r="H181">
        <v>25</v>
      </c>
    </row>
    <row r="182" spans="1:8" x14ac:dyDescent="0.25">
      <c r="A182" t="s">
        <v>555</v>
      </c>
      <c r="B182">
        <v>24028</v>
      </c>
      <c r="C182">
        <v>23</v>
      </c>
      <c r="D182">
        <v>62</v>
      </c>
      <c r="E182">
        <v>196</v>
      </c>
      <c r="F182" t="s">
        <v>912</v>
      </c>
      <c r="G182" t="s">
        <v>595</v>
      </c>
      <c r="H182">
        <v>25</v>
      </c>
    </row>
    <row r="183" spans="1:8" x14ac:dyDescent="0.25">
      <c r="A183" t="s">
        <v>555</v>
      </c>
      <c r="B183">
        <v>24021</v>
      </c>
      <c r="C183">
        <v>16</v>
      </c>
      <c r="D183">
        <v>62</v>
      </c>
      <c r="E183">
        <v>196</v>
      </c>
      <c r="F183" t="s">
        <v>912</v>
      </c>
      <c r="G183" t="s">
        <v>605</v>
      </c>
      <c r="H183">
        <v>25</v>
      </c>
    </row>
    <row r="184" spans="1:8" x14ac:dyDescent="0.25">
      <c r="A184" t="s">
        <v>555</v>
      </c>
      <c r="B184">
        <v>24021</v>
      </c>
      <c r="C184">
        <v>18</v>
      </c>
      <c r="D184">
        <v>62</v>
      </c>
      <c r="E184">
        <v>196</v>
      </c>
      <c r="F184" t="s">
        <v>912</v>
      </c>
      <c r="G184" t="s">
        <v>605</v>
      </c>
      <c r="H184">
        <v>25</v>
      </c>
    </row>
    <row r="185" spans="1:8" x14ac:dyDescent="0.25">
      <c r="A185" t="s">
        <v>555</v>
      </c>
      <c r="B185">
        <v>24021</v>
      </c>
      <c r="C185">
        <v>4</v>
      </c>
      <c r="D185">
        <v>62</v>
      </c>
      <c r="E185">
        <v>196</v>
      </c>
      <c r="F185" t="s">
        <v>912</v>
      </c>
      <c r="G185" t="s">
        <v>605</v>
      </c>
      <c r="H185">
        <v>25</v>
      </c>
    </row>
    <row r="186" spans="1:8" x14ac:dyDescent="0.25">
      <c r="A186" t="s">
        <v>555</v>
      </c>
      <c r="B186">
        <v>24021</v>
      </c>
      <c r="C186">
        <v>2</v>
      </c>
      <c r="D186">
        <v>62</v>
      </c>
      <c r="E186">
        <v>196</v>
      </c>
      <c r="F186" t="s">
        <v>912</v>
      </c>
      <c r="G186" t="s">
        <v>605</v>
      </c>
      <c r="H186">
        <v>25</v>
      </c>
    </row>
    <row r="187" spans="1:8" x14ac:dyDescent="0.25">
      <c r="A187" t="s">
        <v>555</v>
      </c>
      <c r="B187">
        <v>22038</v>
      </c>
      <c r="C187">
        <v>39</v>
      </c>
      <c r="D187">
        <v>62</v>
      </c>
      <c r="E187">
        <v>196</v>
      </c>
      <c r="F187" t="s">
        <v>912</v>
      </c>
      <c r="G187" t="s">
        <v>651</v>
      </c>
      <c r="H187">
        <v>2</v>
      </c>
    </row>
    <row r="188" spans="1:8" x14ac:dyDescent="0.25">
      <c r="A188" t="s">
        <v>555</v>
      </c>
      <c r="B188">
        <v>24301</v>
      </c>
      <c r="C188">
        <v>1</v>
      </c>
      <c r="D188">
        <v>39</v>
      </c>
      <c r="E188">
        <v>196</v>
      </c>
      <c r="F188" t="s">
        <v>914</v>
      </c>
      <c r="G188" t="s">
        <v>652</v>
      </c>
      <c r="H188">
        <v>25</v>
      </c>
    </row>
    <row r="189" spans="1:8" x14ac:dyDescent="0.25">
      <c r="A189" t="s">
        <v>555</v>
      </c>
      <c r="B189">
        <v>24017</v>
      </c>
      <c r="C189">
        <v>73</v>
      </c>
      <c r="D189">
        <v>62</v>
      </c>
      <c r="E189">
        <v>196</v>
      </c>
      <c r="F189" t="s">
        <v>914</v>
      </c>
      <c r="G189" t="s">
        <v>653</v>
      </c>
      <c r="H189"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8"/>
  <sheetViews>
    <sheetView topLeftCell="A72" zoomScaleNormal="100" workbookViewId="0">
      <selection activeCell="K148" sqref="K148"/>
    </sheetView>
  </sheetViews>
  <sheetFormatPr defaultColWidth="8.7109375" defaultRowHeight="15" x14ac:dyDescent="0.25"/>
  <cols>
    <col min="1" max="1" width="13" customWidth="1"/>
    <col min="2" max="2" width="12" customWidth="1"/>
    <col min="3" max="5" width="8" customWidth="1"/>
    <col min="6" max="6" width="34" customWidth="1"/>
    <col min="7" max="7" width="14" customWidth="1"/>
    <col min="8" max="8" width="10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14</v>
      </c>
      <c r="G1" s="1" t="s">
        <v>654</v>
      </c>
      <c r="H1" s="1" t="s">
        <v>578</v>
      </c>
    </row>
    <row r="2" spans="1:8" x14ac:dyDescent="0.25">
      <c r="A2" t="s">
        <v>560</v>
      </c>
      <c r="B2">
        <v>23018</v>
      </c>
      <c r="C2" s="8" t="s">
        <v>655</v>
      </c>
      <c r="D2" s="7">
        <v>50</v>
      </c>
      <c r="E2" s="7">
        <v>99</v>
      </c>
      <c r="F2" t="s">
        <v>656</v>
      </c>
      <c r="G2">
        <v>8</v>
      </c>
      <c r="H2">
        <v>10</v>
      </c>
    </row>
    <row r="3" spans="1:8" x14ac:dyDescent="0.25">
      <c r="A3" t="s">
        <v>560</v>
      </c>
      <c r="B3">
        <v>22032</v>
      </c>
      <c r="C3" s="8" t="s">
        <v>657</v>
      </c>
      <c r="D3" s="7">
        <v>50</v>
      </c>
      <c r="E3" s="7">
        <v>99</v>
      </c>
      <c r="F3" t="s">
        <v>658</v>
      </c>
      <c r="G3">
        <v>8</v>
      </c>
      <c r="H3">
        <v>40</v>
      </c>
    </row>
    <row r="4" spans="1:8" x14ac:dyDescent="0.25">
      <c r="A4" t="s">
        <v>560</v>
      </c>
      <c r="B4">
        <v>20003</v>
      </c>
      <c r="C4" s="8" t="s">
        <v>659</v>
      </c>
      <c r="D4" s="7">
        <v>48</v>
      </c>
      <c r="E4" s="7">
        <v>96</v>
      </c>
      <c r="F4" t="s">
        <v>660</v>
      </c>
      <c r="G4">
        <v>8</v>
      </c>
      <c r="H4">
        <v>6</v>
      </c>
    </row>
    <row r="5" spans="1:8" x14ac:dyDescent="0.25">
      <c r="A5" t="s">
        <v>560</v>
      </c>
      <c r="B5">
        <v>22032</v>
      </c>
      <c r="C5" s="8" t="s">
        <v>661</v>
      </c>
      <c r="D5" s="7">
        <v>50</v>
      </c>
      <c r="E5" s="7">
        <v>99</v>
      </c>
      <c r="F5" t="s">
        <v>658</v>
      </c>
      <c r="G5">
        <v>8</v>
      </c>
      <c r="H5">
        <v>3</v>
      </c>
    </row>
    <row r="6" spans="1:8" x14ac:dyDescent="0.25">
      <c r="A6" t="s">
        <v>560</v>
      </c>
      <c r="B6">
        <v>23029</v>
      </c>
      <c r="C6" s="8" t="s">
        <v>662</v>
      </c>
      <c r="D6" s="7">
        <v>50</v>
      </c>
      <c r="E6" s="7">
        <v>99</v>
      </c>
      <c r="F6" t="s">
        <v>658</v>
      </c>
      <c r="G6">
        <v>8</v>
      </c>
      <c r="H6">
        <v>3</v>
      </c>
    </row>
    <row r="7" spans="1:8" x14ac:dyDescent="0.25">
      <c r="A7" t="s">
        <v>560</v>
      </c>
      <c r="B7">
        <v>22006</v>
      </c>
      <c r="C7" s="8" t="s">
        <v>663</v>
      </c>
      <c r="D7" s="7">
        <v>48</v>
      </c>
      <c r="E7" s="7">
        <v>96</v>
      </c>
      <c r="F7" t="s">
        <v>664</v>
      </c>
      <c r="G7">
        <v>8</v>
      </c>
      <c r="H7">
        <v>1</v>
      </c>
    </row>
    <row r="8" spans="1:8" x14ac:dyDescent="0.25">
      <c r="A8" t="s">
        <v>560</v>
      </c>
      <c r="B8">
        <v>20048</v>
      </c>
      <c r="C8" s="8" t="s">
        <v>665</v>
      </c>
      <c r="D8" s="7">
        <v>50</v>
      </c>
      <c r="E8" s="7">
        <v>99</v>
      </c>
      <c r="F8" t="s">
        <v>666</v>
      </c>
      <c r="G8">
        <v>8</v>
      </c>
      <c r="H8">
        <v>40</v>
      </c>
    </row>
    <row r="9" spans="1:8" x14ac:dyDescent="0.25">
      <c r="A9" t="s">
        <v>560</v>
      </c>
      <c r="B9">
        <v>21038</v>
      </c>
      <c r="C9" s="8" t="s">
        <v>667</v>
      </c>
      <c r="D9" s="7">
        <v>48</v>
      </c>
      <c r="E9" s="7">
        <v>96</v>
      </c>
      <c r="F9" t="s">
        <v>668</v>
      </c>
      <c r="G9">
        <v>8</v>
      </c>
      <c r="H9">
        <v>6</v>
      </c>
    </row>
    <row r="10" spans="1:8" x14ac:dyDescent="0.25">
      <c r="A10" t="s">
        <v>560</v>
      </c>
      <c r="B10">
        <v>21044</v>
      </c>
      <c r="C10" s="8" t="s">
        <v>657</v>
      </c>
      <c r="D10" s="7">
        <v>50</v>
      </c>
      <c r="E10" s="7">
        <v>98</v>
      </c>
      <c r="F10" t="s">
        <v>669</v>
      </c>
      <c r="G10">
        <v>8</v>
      </c>
      <c r="H10">
        <v>1</v>
      </c>
    </row>
    <row r="11" spans="1:8" x14ac:dyDescent="0.25">
      <c r="A11" t="s">
        <v>560</v>
      </c>
      <c r="B11">
        <v>21037</v>
      </c>
      <c r="C11" s="8" t="s">
        <v>670</v>
      </c>
      <c r="D11" s="7">
        <v>50</v>
      </c>
      <c r="E11" s="7">
        <v>99</v>
      </c>
      <c r="F11" t="s">
        <v>671</v>
      </c>
      <c r="G11">
        <v>8</v>
      </c>
      <c r="H11">
        <v>7</v>
      </c>
    </row>
    <row r="12" spans="1:8" x14ac:dyDescent="0.25">
      <c r="A12" t="s">
        <v>560</v>
      </c>
      <c r="B12">
        <v>24005</v>
      </c>
      <c r="C12" s="8" t="s">
        <v>659</v>
      </c>
      <c r="D12" s="7">
        <v>50</v>
      </c>
      <c r="E12" s="7">
        <v>99</v>
      </c>
      <c r="F12" t="s">
        <v>672</v>
      </c>
      <c r="G12">
        <v>8</v>
      </c>
      <c r="H12">
        <v>3</v>
      </c>
    </row>
    <row r="13" spans="1:8" x14ac:dyDescent="0.25">
      <c r="A13" t="s">
        <v>560</v>
      </c>
      <c r="B13">
        <v>22047</v>
      </c>
      <c r="C13" s="8" t="s">
        <v>662</v>
      </c>
      <c r="D13" s="7">
        <v>50</v>
      </c>
      <c r="E13" s="7">
        <v>99</v>
      </c>
      <c r="F13" t="s">
        <v>673</v>
      </c>
      <c r="G13">
        <v>8</v>
      </c>
      <c r="H13">
        <v>8</v>
      </c>
    </row>
    <row r="14" spans="1:8" x14ac:dyDescent="0.25">
      <c r="A14" t="s">
        <v>560</v>
      </c>
      <c r="B14">
        <v>22026</v>
      </c>
      <c r="C14" s="8" t="s">
        <v>662</v>
      </c>
      <c r="D14" s="7">
        <v>50</v>
      </c>
      <c r="E14" s="7">
        <v>99</v>
      </c>
      <c r="F14" t="s">
        <v>674</v>
      </c>
      <c r="G14">
        <v>8</v>
      </c>
      <c r="H14">
        <v>3</v>
      </c>
    </row>
    <row r="15" spans="1:8" x14ac:dyDescent="0.25">
      <c r="A15" t="s">
        <v>560</v>
      </c>
      <c r="B15">
        <v>23029</v>
      </c>
      <c r="C15" s="8" t="s">
        <v>670</v>
      </c>
      <c r="D15" s="7">
        <v>50</v>
      </c>
      <c r="E15" s="7">
        <v>99</v>
      </c>
      <c r="F15" t="s">
        <v>658</v>
      </c>
      <c r="G15">
        <v>8</v>
      </c>
      <c r="H15">
        <v>39</v>
      </c>
    </row>
    <row r="16" spans="1:8" x14ac:dyDescent="0.25">
      <c r="A16" t="s">
        <v>560</v>
      </c>
      <c r="B16">
        <v>21016</v>
      </c>
      <c r="C16" s="8" t="s">
        <v>675</v>
      </c>
      <c r="D16" s="7">
        <v>48</v>
      </c>
      <c r="E16" s="7">
        <v>96</v>
      </c>
      <c r="F16" t="s">
        <v>676</v>
      </c>
      <c r="G16">
        <v>12</v>
      </c>
      <c r="H16">
        <v>2</v>
      </c>
    </row>
    <row r="17" spans="1:10" x14ac:dyDescent="0.25">
      <c r="A17" t="s">
        <v>560</v>
      </c>
      <c r="B17">
        <v>22026</v>
      </c>
      <c r="C17" s="8" t="s">
        <v>675</v>
      </c>
      <c r="D17" s="7">
        <v>50</v>
      </c>
      <c r="E17" s="7">
        <v>120</v>
      </c>
      <c r="F17" t="s">
        <v>668</v>
      </c>
      <c r="G17">
        <v>8</v>
      </c>
      <c r="H17">
        <v>4</v>
      </c>
    </row>
    <row r="18" spans="1:10" s="9" customFormat="1" x14ac:dyDescent="0.25">
      <c r="A18" s="9" t="s">
        <v>560</v>
      </c>
      <c r="B18" s="9">
        <v>20048</v>
      </c>
      <c r="C18" s="11" t="s">
        <v>677</v>
      </c>
      <c r="D18" s="14">
        <v>50</v>
      </c>
      <c r="E18" s="14">
        <v>99</v>
      </c>
      <c r="F18" s="9" t="s">
        <v>678</v>
      </c>
      <c r="G18" s="9">
        <v>8</v>
      </c>
      <c r="H18" s="9">
        <v>35</v>
      </c>
      <c r="J18" s="10" t="s">
        <v>892</v>
      </c>
    </row>
    <row r="19" spans="1:10" s="9" customFormat="1" x14ac:dyDescent="0.25">
      <c r="A19" s="9" t="s">
        <v>563</v>
      </c>
      <c r="B19" s="9">
        <v>25007</v>
      </c>
      <c r="C19" s="11" t="s">
        <v>679</v>
      </c>
      <c r="D19" s="14">
        <v>50</v>
      </c>
      <c r="E19" s="14">
        <v>99</v>
      </c>
      <c r="F19" s="9" t="s">
        <v>680</v>
      </c>
      <c r="G19" s="9">
        <v>8</v>
      </c>
      <c r="H19" s="9">
        <v>40</v>
      </c>
    </row>
    <row r="20" spans="1:10" x14ac:dyDescent="0.25">
      <c r="A20" t="s">
        <v>563</v>
      </c>
      <c r="B20">
        <v>22017</v>
      </c>
      <c r="C20" s="8" t="s">
        <v>663</v>
      </c>
      <c r="D20" s="7">
        <v>48</v>
      </c>
      <c r="E20" s="7">
        <v>96</v>
      </c>
      <c r="F20" t="s">
        <v>681</v>
      </c>
      <c r="G20">
        <v>8</v>
      </c>
      <c r="H20">
        <v>4</v>
      </c>
    </row>
    <row r="21" spans="1:10" x14ac:dyDescent="0.25">
      <c r="A21" t="s">
        <v>563</v>
      </c>
      <c r="C21" s="8" t="s">
        <v>682</v>
      </c>
      <c r="D21" s="7"/>
      <c r="E21" s="7"/>
      <c r="F21" t="s">
        <v>683</v>
      </c>
      <c r="G21">
        <v>8</v>
      </c>
      <c r="H21">
        <v>2</v>
      </c>
    </row>
    <row r="22" spans="1:10" x14ac:dyDescent="0.25">
      <c r="A22" t="s">
        <v>563</v>
      </c>
      <c r="B22">
        <v>22029</v>
      </c>
      <c r="C22" s="8" t="s">
        <v>663</v>
      </c>
      <c r="D22" s="7">
        <v>50</v>
      </c>
      <c r="E22" s="7">
        <v>120</v>
      </c>
      <c r="F22" t="s">
        <v>684</v>
      </c>
      <c r="G22">
        <v>8</v>
      </c>
      <c r="H22">
        <v>11</v>
      </c>
    </row>
    <row r="23" spans="1:10" x14ac:dyDescent="0.25">
      <c r="A23" t="s">
        <v>563</v>
      </c>
      <c r="B23">
        <v>25007</v>
      </c>
      <c r="C23" s="8" t="s">
        <v>659</v>
      </c>
      <c r="D23" s="7">
        <v>50</v>
      </c>
      <c r="E23" s="7">
        <v>99</v>
      </c>
      <c r="F23" t="s">
        <v>680</v>
      </c>
      <c r="G23">
        <v>8</v>
      </c>
      <c r="H23">
        <v>31</v>
      </c>
    </row>
    <row r="24" spans="1:10" s="9" customFormat="1" x14ac:dyDescent="0.25">
      <c r="A24" s="9" t="s">
        <v>563</v>
      </c>
      <c r="B24" s="9">
        <v>20048</v>
      </c>
      <c r="C24" s="11" t="s">
        <v>685</v>
      </c>
      <c r="D24" s="14">
        <v>48</v>
      </c>
      <c r="E24" s="14">
        <v>96</v>
      </c>
      <c r="F24" s="9" t="s">
        <v>678</v>
      </c>
      <c r="G24" s="9">
        <v>8</v>
      </c>
      <c r="H24" s="9">
        <v>9</v>
      </c>
      <c r="J24" s="10" t="s">
        <v>892</v>
      </c>
    </row>
    <row r="25" spans="1:10" x14ac:dyDescent="0.25">
      <c r="A25" t="s">
        <v>563</v>
      </c>
      <c r="B25">
        <v>20038</v>
      </c>
      <c r="C25" s="8" t="s">
        <v>675</v>
      </c>
      <c r="D25" s="7">
        <v>50</v>
      </c>
      <c r="E25" s="7">
        <v>99</v>
      </c>
      <c r="F25" t="s">
        <v>686</v>
      </c>
      <c r="G25">
        <v>8</v>
      </c>
      <c r="H25">
        <v>4</v>
      </c>
    </row>
    <row r="26" spans="1:10" s="9" customFormat="1" x14ac:dyDescent="0.25">
      <c r="A26" s="9" t="s">
        <v>563</v>
      </c>
      <c r="B26" s="9">
        <v>23017</v>
      </c>
      <c r="C26" s="11" t="s">
        <v>663</v>
      </c>
      <c r="D26" s="14">
        <v>49</v>
      </c>
      <c r="E26" s="14">
        <v>99</v>
      </c>
      <c r="F26" s="9" t="s">
        <v>687</v>
      </c>
      <c r="G26" s="9">
        <v>8</v>
      </c>
      <c r="H26" s="9">
        <v>2</v>
      </c>
      <c r="J26" s="10" t="s">
        <v>892</v>
      </c>
    </row>
    <row r="27" spans="1:10" x14ac:dyDescent="0.25">
      <c r="A27" t="s">
        <v>563</v>
      </c>
      <c r="B27">
        <v>22026</v>
      </c>
      <c r="C27" s="8" t="s">
        <v>661</v>
      </c>
      <c r="D27" s="7">
        <v>50</v>
      </c>
      <c r="E27" s="7">
        <v>120</v>
      </c>
      <c r="F27" t="s">
        <v>688</v>
      </c>
      <c r="G27">
        <v>8</v>
      </c>
      <c r="H27">
        <v>6</v>
      </c>
    </row>
    <row r="28" spans="1:10" s="9" customFormat="1" x14ac:dyDescent="0.25">
      <c r="A28" s="9" t="s">
        <v>563</v>
      </c>
      <c r="B28" s="9">
        <v>24005</v>
      </c>
      <c r="C28" s="11" t="s">
        <v>657</v>
      </c>
      <c r="D28" s="14">
        <v>50</v>
      </c>
      <c r="E28" s="14">
        <v>99</v>
      </c>
      <c r="F28" s="13" t="s">
        <v>672</v>
      </c>
      <c r="G28" s="9">
        <v>8</v>
      </c>
      <c r="H28" s="9">
        <v>2</v>
      </c>
      <c r="J28" s="10" t="s">
        <v>892</v>
      </c>
    </row>
    <row r="29" spans="1:10" x14ac:dyDescent="0.25">
      <c r="A29" t="s">
        <v>563</v>
      </c>
      <c r="B29">
        <v>25401</v>
      </c>
      <c r="C29" s="8" t="s">
        <v>679</v>
      </c>
      <c r="D29" s="7">
        <v>50</v>
      </c>
      <c r="E29" s="7">
        <v>120</v>
      </c>
      <c r="F29" t="s">
        <v>689</v>
      </c>
      <c r="G29">
        <v>8</v>
      </c>
      <c r="H29">
        <v>2</v>
      </c>
    </row>
    <row r="30" spans="1:10" x14ac:dyDescent="0.25">
      <c r="A30" t="s">
        <v>563</v>
      </c>
      <c r="B30">
        <v>24005</v>
      </c>
      <c r="C30" s="8" t="s">
        <v>675</v>
      </c>
      <c r="D30" s="7">
        <v>50</v>
      </c>
      <c r="E30" s="7">
        <v>120</v>
      </c>
      <c r="F30" t="s">
        <v>690</v>
      </c>
      <c r="G30">
        <v>8</v>
      </c>
      <c r="H30">
        <v>1</v>
      </c>
    </row>
    <row r="31" spans="1:10" x14ac:dyDescent="0.25">
      <c r="A31" t="s">
        <v>563</v>
      </c>
      <c r="B31">
        <v>23015</v>
      </c>
      <c r="C31" s="8" t="s">
        <v>691</v>
      </c>
      <c r="D31" s="7">
        <v>49</v>
      </c>
      <c r="E31" s="7">
        <v>120</v>
      </c>
      <c r="F31" t="s">
        <v>692</v>
      </c>
      <c r="G31">
        <v>8</v>
      </c>
      <c r="H31">
        <v>5</v>
      </c>
    </row>
    <row r="32" spans="1:10" x14ac:dyDescent="0.25">
      <c r="A32" t="s">
        <v>563</v>
      </c>
      <c r="B32">
        <v>23033</v>
      </c>
      <c r="C32" s="8" t="s">
        <v>693</v>
      </c>
      <c r="D32" s="7">
        <v>50</v>
      </c>
      <c r="E32" s="7">
        <v>120</v>
      </c>
      <c r="F32" t="s">
        <v>694</v>
      </c>
      <c r="G32">
        <v>8</v>
      </c>
      <c r="H32">
        <v>11</v>
      </c>
    </row>
    <row r="33" spans="1:10" x14ac:dyDescent="0.25">
      <c r="A33" t="s">
        <v>563</v>
      </c>
      <c r="B33">
        <v>22034</v>
      </c>
      <c r="C33" s="8" t="s">
        <v>695</v>
      </c>
      <c r="D33" s="7">
        <v>50</v>
      </c>
      <c r="E33" s="7">
        <v>120</v>
      </c>
      <c r="F33" t="s">
        <v>696</v>
      </c>
      <c r="G33">
        <v>8</v>
      </c>
      <c r="H33">
        <v>4</v>
      </c>
    </row>
    <row r="34" spans="1:10" x14ac:dyDescent="0.25">
      <c r="A34" t="s">
        <v>563</v>
      </c>
      <c r="B34">
        <v>23019</v>
      </c>
      <c r="C34" s="8" t="s">
        <v>663</v>
      </c>
      <c r="D34" s="7">
        <v>50</v>
      </c>
      <c r="E34" s="7">
        <v>120</v>
      </c>
      <c r="F34" t="s">
        <v>697</v>
      </c>
      <c r="G34">
        <v>8</v>
      </c>
      <c r="H34">
        <v>16</v>
      </c>
    </row>
    <row r="35" spans="1:10" x14ac:dyDescent="0.25">
      <c r="A35" t="s">
        <v>563</v>
      </c>
      <c r="B35">
        <v>22002</v>
      </c>
      <c r="C35" s="8" t="s">
        <v>662</v>
      </c>
      <c r="D35" s="7">
        <v>48</v>
      </c>
      <c r="E35" s="7">
        <v>120</v>
      </c>
      <c r="F35" t="s">
        <v>698</v>
      </c>
      <c r="G35">
        <v>8</v>
      </c>
      <c r="H35">
        <v>9</v>
      </c>
    </row>
    <row r="36" spans="1:10" x14ac:dyDescent="0.25">
      <c r="A36" t="s">
        <v>563</v>
      </c>
      <c r="B36">
        <v>23031</v>
      </c>
      <c r="C36" s="8" t="s">
        <v>699</v>
      </c>
      <c r="D36" s="7">
        <v>50</v>
      </c>
      <c r="E36" s="7">
        <v>120</v>
      </c>
      <c r="F36" t="s">
        <v>700</v>
      </c>
      <c r="G36">
        <v>8</v>
      </c>
      <c r="H36">
        <v>15</v>
      </c>
    </row>
    <row r="37" spans="1:10" x14ac:dyDescent="0.25">
      <c r="A37" t="s">
        <v>566</v>
      </c>
      <c r="B37">
        <v>22017</v>
      </c>
      <c r="C37" s="8" t="s">
        <v>662</v>
      </c>
      <c r="D37" s="7">
        <v>48</v>
      </c>
      <c r="E37" s="7">
        <v>120</v>
      </c>
      <c r="F37" t="s">
        <v>681</v>
      </c>
      <c r="G37">
        <v>8</v>
      </c>
      <c r="H37">
        <v>1</v>
      </c>
    </row>
    <row r="38" spans="1:10" x14ac:dyDescent="0.25">
      <c r="A38" t="s">
        <v>566</v>
      </c>
      <c r="B38">
        <v>23407</v>
      </c>
      <c r="C38" s="8" t="s">
        <v>679</v>
      </c>
      <c r="D38" s="7">
        <v>48</v>
      </c>
      <c r="E38" s="7">
        <v>120</v>
      </c>
      <c r="F38" t="s">
        <v>676</v>
      </c>
      <c r="G38">
        <v>8</v>
      </c>
      <c r="H38">
        <v>1</v>
      </c>
    </row>
    <row r="39" spans="1:10" x14ac:dyDescent="0.25">
      <c r="A39" t="s">
        <v>566</v>
      </c>
      <c r="B39">
        <v>22030</v>
      </c>
      <c r="C39" s="8" t="s">
        <v>663</v>
      </c>
      <c r="D39" s="7">
        <v>48</v>
      </c>
      <c r="E39" s="7">
        <v>120</v>
      </c>
      <c r="F39" t="s">
        <v>701</v>
      </c>
      <c r="G39">
        <v>8</v>
      </c>
      <c r="H39">
        <v>3</v>
      </c>
    </row>
    <row r="40" spans="1:10" x14ac:dyDescent="0.25">
      <c r="A40" t="s">
        <v>566</v>
      </c>
      <c r="B40">
        <v>20048</v>
      </c>
      <c r="C40" s="8" t="s">
        <v>702</v>
      </c>
      <c r="D40" s="7">
        <v>50</v>
      </c>
      <c r="E40" s="7">
        <v>120</v>
      </c>
      <c r="F40" t="s">
        <v>686</v>
      </c>
      <c r="G40">
        <v>8</v>
      </c>
      <c r="H40">
        <v>1</v>
      </c>
    </row>
    <row r="41" spans="1:10" x14ac:dyDescent="0.25">
      <c r="A41" t="s">
        <v>566</v>
      </c>
      <c r="B41">
        <v>22032</v>
      </c>
      <c r="C41" s="8" t="s">
        <v>703</v>
      </c>
      <c r="D41" s="7">
        <v>50</v>
      </c>
      <c r="E41" s="7">
        <v>120</v>
      </c>
      <c r="F41" t="s">
        <v>676</v>
      </c>
      <c r="G41">
        <v>8</v>
      </c>
      <c r="H41">
        <v>16</v>
      </c>
    </row>
    <row r="42" spans="1:10" x14ac:dyDescent="0.25">
      <c r="A42" t="s">
        <v>566</v>
      </c>
      <c r="B42">
        <v>22034</v>
      </c>
      <c r="C42" s="8" t="s">
        <v>704</v>
      </c>
      <c r="D42" s="7">
        <v>50</v>
      </c>
      <c r="E42" s="7">
        <v>120</v>
      </c>
      <c r="F42" t="s">
        <v>705</v>
      </c>
      <c r="G42">
        <v>8</v>
      </c>
      <c r="H42">
        <v>3</v>
      </c>
    </row>
    <row r="43" spans="1:10" x14ac:dyDescent="0.25">
      <c r="A43" t="s">
        <v>566</v>
      </c>
      <c r="B43">
        <v>21037</v>
      </c>
      <c r="C43" s="8" t="s">
        <v>662</v>
      </c>
      <c r="D43" s="7">
        <v>50</v>
      </c>
      <c r="E43" s="7">
        <v>120</v>
      </c>
      <c r="F43" t="s">
        <v>706</v>
      </c>
      <c r="G43">
        <v>8</v>
      </c>
      <c r="H43">
        <v>4</v>
      </c>
    </row>
    <row r="44" spans="1:10" x14ac:dyDescent="0.25">
      <c r="A44" t="s">
        <v>566</v>
      </c>
      <c r="B44">
        <v>20048</v>
      </c>
      <c r="C44" s="8" t="s">
        <v>707</v>
      </c>
      <c r="D44" s="7">
        <v>50</v>
      </c>
      <c r="E44" s="7">
        <v>120</v>
      </c>
      <c r="F44" t="s">
        <v>686</v>
      </c>
      <c r="G44">
        <v>8</v>
      </c>
      <c r="H44">
        <v>3</v>
      </c>
    </row>
    <row r="45" spans="1:10" x14ac:dyDescent="0.25">
      <c r="A45" t="s">
        <v>566</v>
      </c>
      <c r="B45">
        <v>22042</v>
      </c>
      <c r="C45" s="8" t="s">
        <v>679</v>
      </c>
      <c r="D45" s="7">
        <v>48</v>
      </c>
      <c r="E45" s="7">
        <v>120</v>
      </c>
      <c r="F45" t="s">
        <v>676</v>
      </c>
      <c r="G45">
        <v>8</v>
      </c>
      <c r="H45">
        <v>4</v>
      </c>
    </row>
    <row r="46" spans="1:10" x14ac:dyDescent="0.25">
      <c r="A46" t="s">
        <v>566</v>
      </c>
      <c r="B46">
        <v>22037</v>
      </c>
      <c r="C46" s="8" t="s">
        <v>659</v>
      </c>
      <c r="D46" s="7">
        <v>48</v>
      </c>
      <c r="E46" s="7">
        <v>120</v>
      </c>
      <c r="F46" t="s">
        <v>690</v>
      </c>
      <c r="G46">
        <v>8</v>
      </c>
      <c r="H46">
        <v>16</v>
      </c>
    </row>
    <row r="47" spans="1:10" s="9" customFormat="1" x14ac:dyDescent="0.25">
      <c r="A47" s="9" t="s">
        <v>566</v>
      </c>
      <c r="B47" s="9">
        <v>22048</v>
      </c>
      <c r="C47" s="11">
        <v>95</v>
      </c>
      <c r="D47" s="12">
        <v>50</v>
      </c>
      <c r="E47" s="12">
        <v>120</v>
      </c>
      <c r="F47" s="9" t="s">
        <v>900</v>
      </c>
      <c r="G47" s="9">
        <v>8</v>
      </c>
      <c r="H47" s="9">
        <v>12</v>
      </c>
      <c r="J47" s="10" t="s">
        <v>892</v>
      </c>
    </row>
    <row r="48" spans="1:10" s="9" customFormat="1" x14ac:dyDescent="0.25">
      <c r="A48" s="9" t="s">
        <v>566</v>
      </c>
      <c r="B48" s="9">
        <v>22047</v>
      </c>
      <c r="C48" s="11" t="s">
        <v>679</v>
      </c>
      <c r="D48" s="14">
        <v>50</v>
      </c>
      <c r="E48" s="14">
        <v>120</v>
      </c>
      <c r="F48" s="9" t="s">
        <v>901</v>
      </c>
      <c r="G48" s="9">
        <v>8</v>
      </c>
      <c r="H48" s="9">
        <v>4</v>
      </c>
      <c r="J48" s="10" t="s">
        <v>4</v>
      </c>
    </row>
    <row r="49" spans="1:8" x14ac:dyDescent="0.25">
      <c r="A49" t="s">
        <v>567</v>
      </c>
      <c r="B49">
        <v>22037</v>
      </c>
      <c r="C49" s="8" t="s">
        <v>662</v>
      </c>
      <c r="D49" s="7">
        <v>48</v>
      </c>
      <c r="E49" s="7">
        <v>120</v>
      </c>
      <c r="F49" t="s">
        <v>690</v>
      </c>
      <c r="G49">
        <v>8</v>
      </c>
      <c r="H49">
        <v>3</v>
      </c>
    </row>
    <row r="50" spans="1:8" x14ac:dyDescent="0.25">
      <c r="A50" t="s">
        <v>567</v>
      </c>
      <c r="B50">
        <v>23031</v>
      </c>
      <c r="C50" s="8" t="s">
        <v>655</v>
      </c>
      <c r="D50" s="7">
        <v>48</v>
      </c>
      <c r="E50" s="7">
        <v>120</v>
      </c>
      <c r="F50" t="s">
        <v>708</v>
      </c>
      <c r="G50">
        <v>8</v>
      </c>
      <c r="H50">
        <v>1</v>
      </c>
    </row>
    <row r="51" spans="1:8" x14ac:dyDescent="0.25">
      <c r="A51" t="s">
        <v>567</v>
      </c>
      <c r="C51" s="8" t="s">
        <v>682</v>
      </c>
      <c r="D51" s="7">
        <v>50</v>
      </c>
      <c r="E51" s="7">
        <v>120</v>
      </c>
      <c r="F51" t="s">
        <v>709</v>
      </c>
      <c r="G51">
        <v>8</v>
      </c>
      <c r="H51">
        <v>1</v>
      </c>
    </row>
    <row r="52" spans="1:8" x14ac:dyDescent="0.25">
      <c r="A52" t="s">
        <v>567</v>
      </c>
      <c r="B52">
        <v>23031</v>
      </c>
      <c r="C52" s="8" t="s">
        <v>659</v>
      </c>
      <c r="D52" s="7">
        <v>46</v>
      </c>
      <c r="E52" s="7">
        <v>120</v>
      </c>
      <c r="F52" t="s">
        <v>710</v>
      </c>
      <c r="G52">
        <v>8</v>
      </c>
      <c r="H52">
        <v>4</v>
      </c>
    </row>
    <row r="53" spans="1:8" x14ac:dyDescent="0.25">
      <c r="A53" t="s">
        <v>567</v>
      </c>
      <c r="B53">
        <v>22032</v>
      </c>
      <c r="C53" s="8" t="s">
        <v>677</v>
      </c>
      <c r="D53" s="7">
        <v>50</v>
      </c>
      <c r="E53" s="7">
        <v>120</v>
      </c>
      <c r="F53" t="s">
        <v>711</v>
      </c>
      <c r="G53">
        <v>8</v>
      </c>
      <c r="H53">
        <v>10</v>
      </c>
    </row>
    <row r="54" spans="1:8" x14ac:dyDescent="0.25">
      <c r="A54" t="s">
        <v>567</v>
      </c>
      <c r="B54">
        <v>24031</v>
      </c>
      <c r="C54" s="8" t="s">
        <v>699</v>
      </c>
      <c r="D54" s="7">
        <v>49</v>
      </c>
      <c r="E54" s="7">
        <v>120</v>
      </c>
      <c r="F54" t="s">
        <v>712</v>
      </c>
      <c r="G54">
        <v>8</v>
      </c>
      <c r="H54">
        <v>13</v>
      </c>
    </row>
    <row r="55" spans="1:8" x14ac:dyDescent="0.25">
      <c r="A55" t="s">
        <v>567</v>
      </c>
      <c r="B55">
        <v>22047</v>
      </c>
      <c r="C55" s="8" t="s">
        <v>699</v>
      </c>
      <c r="D55" s="7">
        <v>50</v>
      </c>
      <c r="E55" s="7">
        <v>120</v>
      </c>
      <c r="F55" t="s">
        <v>673</v>
      </c>
      <c r="G55">
        <v>8</v>
      </c>
      <c r="H55">
        <v>12</v>
      </c>
    </row>
    <row r="56" spans="1:8" x14ac:dyDescent="0.25">
      <c r="A56" t="s">
        <v>567</v>
      </c>
      <c r="B56">
        <v>22032</v>
      </c>
      <c r="C56" s="8" t="s">
        <v>713</v>
      </c>
      <c r="D56" s="7">
        <v>48</v>
      </c>
      <c r="E56" s="7">
        <v>120</v>
      </c>
      <c r="F56" t="s">
        <v>714</v>
      </c>
      <c r="G56">
        <v>8</v>
      </c>
      <c r="H56">
        <v>7</v>
      </c>
    </row>
    <row r="57" spans="1:8" x14ac:dyDescent="0.25">
      <c r="A57" t="s">
        <v>567</v>
      </c>
      <c r="B57">
        <v>21024</v>
      </c>
      <c r="C57" s="8" t="s">
        <v>657</v>
      </c>
      <c r="D57" s="7">
        <v>48</v>
      </c>
      <c r="E57" s="7">
        <v>120</v>
      </c>
      <c r="F57" t="s">
        <v>715</v>
      </c>
      <c r="G57">
        <v>8</v>
      </c>
      <c r="H57">
        <v>30</v>
      </c>
    </row>
    <row r="58" spans="1:8" x14ac:dyDescent="0.25">
      <c r="A58" t="s">
        <v>567</v>
      </c>
      <c r="B58">
        <v>21053</v>
      </c>
      <c r="C58" s="8" t="s">
        <v>662</v>
      </c>
      <c r="D58" s="7">
        <v>48</v>
      </c>
      <c r="E58" s="7">
        <v>120</v>
      </c>
      <c r="F58" t="s">
        <v>716</v>
      </c>
      <c r="G58">
        <v>8</v>
      </c>
      <c r="H58">
        <v>4</v>
      </c>
    </row>
    <row r="59" spans="1:8" x14ac:dyDescent="0.25">
      <c r="A59" t="s">
        <v>567</v>
      </c>
      <c r="B59">
        <v>21038</v>
      </c>
      <c r="C59" s="8" t="s">
        <v>717</v>
      </c>
      <c r="D59" s="7">
        <v>96</v>
      </c>
      <c r="E59" s="7">
        <v>120</v>
      </c>
      <c r="F59" t="s">
        <v>718</v>
      </c>
      <c r="G59">
        <v>8</v>
      </c>
      <c r="H59">
        <v>2</v>
      </c>
    </row>
    <row r="60" spans="1:8" x14ac:dyDescent="0.25">
      <c r="A60" t="s">
        <v>567</v>
      </c>
      <c r="B60">
        <v>21037</v>
      </c>
      <c r="C60" s="8" t="s">
        <v>719</v>
      </c>
      <c r="D60" s="7">
        <v>50</v>
      </c>
      <c r="E60" s="7">
        <v>120</v>
      </c>
      <c r="F60" t="s">
        <v>706</v>
      </c>
      <c r="G60">
        <v>8</v>
      </c>
      <c r="H60">
        <v>4</v>
      </c>
    </row>
    <row r="61" spans="1:8" x14ac:dyDescent="0.25">
      <c r="A61" t="s">
        <v>567</v>
      </c>
      <c r="B61">
        <v>22026</v>
      </c>
      <c r="C61" s="8" t="s">
        <v>699</v>
      </c>
      <c r="D61" s="7">
        <v>50</v>
      </c>
      <c r="E61" s="7">
        <v>120</v>
      </c>
      <c r="F61" t="s">
        <v>674</v>
      </c>
      <c r="G61">
        <v>8</v>
      </c>
      <c r="H61">
        <v>4</v>
      </c>
    </row>
    <row r="62" spans="1:8" x14ac:dyDescent="0.25">
      <c r="A62" t="s">
        <v>567</v>
      </c>
      <c r="B62">
        <v>21037</v>
      </c>
      <c r="C62" s="8" t="s">
        <v>720</v>
      </c>
      <c r="D62" s="7">
        <v>50</v>
      </c>
      <c r="E62" s="7">
        <v>120</v>
      </c>
      <c r="F62" t="s">
        <v>721</v>
      </c>
      <c r="G62">
        <v>8</v>
      </c>
      <c r="H62">
        <v>5</v>
      </c>
    </row>
    <row r="63" spans="1:8" x14ac:dyDescent="0.25">
      <c r="A63" t="s">
        <v>567</v>
      </c>
      <c r="B63">
        <v>22026</v>
      </c>
      <c r="C63" s="8" t="s">
        <v>722</v>
      </c>
      <c r="D63" s="7">
        <v>48</v>
      </c>
      <c r="E63" s="7">
        <v>120</v>
      </c>
      <c r="F63" t="s">
        <v>674</v>
      </c>
      <c r="G63">
        <v>8</v>
      </c>
      <c r="H63">
        <v>30</v>
      </c>
    </row>
    <row r="64" spans="1:8" x14ac:dyDescent="0.25">
      <c r="A64" t="s">
        <v>567</v>
      </c>
      <c r="B64">
        <v>24019</v>
      </c>
      <c r="C64" s="8" t="s">
        <v>655</v>
      </c>
      <c r="D64" s="7">
        <v>50</v>
      </c>
      <c r="E64" s="7">
        <v>120</v>
      </c>
      <c r="F64" t="s">
        <v>723</v>
      </c>
      <c r="G64">
        <v>8</v>
      </c>
      <c r="H64">
        <v>16</v>
      </c>
    </row>
    <row r="65" spans="1:10" x14ac:dyDescent="0.25">
      <c r="A65" t="s">
        <v>567</v>
      </c>
      <c r="B65">
        <v>24019</v>
      </c>
      <c r="C65" s="8" t="s">
        <v>675</v>
      </c>
      <c r="D65" s="7">
        <v>50</v>
      </c>
      <c r="E65" s="7">
        <v>120</v>
      </c>
      <c r="F65" t="s">
        <v>723</v>
      </c>
      <c r="G65">
        <v>8</v>
      </c>
      <c r="H65">
        <v>18</v>
      </c>
    </row>
    <row r="66" spans="1:10" x14ac:dyDescent="0.25">
      <c r="A66" t="s">
        <v>569</v>
      </c>
      <c r="B66">
        <v>24005</v>
      </c>
      <c r="C66" s="8" t="s">
        <v>670</v>
      </c>
      <c r="D66" s="7">
        <v>50</v>
      </c>
      <c r="E66" s="7">
        <v>120</v>
      </c>
      <c r="F66" t="s">
        <v>709</v>
      </c>
      <c r="G66">
        <v>8</v>
      </c>
      <c r="H66">
        <v>5</v>
      </c>
    </row>
    <row r="67" spans="1:10" x14ac:dyDescent="0.25">
      <c r="A67" t="s">
        <v>569</v>
      </c>
      <c r="B67">
        <v>21028</v>
      </c>
      <c r="C67" s="8" t="s">
        <v>724</v>
      </c>
      <c r="D67" s="7">
        <v>48</v>
      </c>
      <c r="E67" s="7">
        <v>120</v>
      </c>
      <c r="F67" t="s">
        <v>725</v>
      </c>
      <c r="G67">
        <v>8</v>
      </c>
      <c r="H67">
        <v>14</v>
      </c>
    </row>
    <row r="68" spans="1:10" x14ac:dyDescent="0.25">
      <c r="A68" t="s">
        <v>569</v>
      </c>
      <c r="B68">
        <v>21037</v>
      </c>
      <c r="C68" s="8" t="s">
        <v>726</v>
      </c>
      <c r="D68" s="7">
        <v>50</v>
      </c>
      <c r="E68" s="7">
        <v>120</v>
      </c>
      <c r="F68" t="s">
        <v>716</v>
      </c>
      <c r="G68">
        <v>8</v>
      </c>
      <c r="H68">
        <v>9</v>
      </c>
    </row>
    <row r="69" spans="1:10" x14ac:dyDescent="0.25">
      <c r="A69" t="s">
        <v>569</v>
      </c>
      <c r="B69">
        <v>22051</v>
      </c>
      <c r="C69" s="8" t="s">
        <v>659</v>
      </c>
      <c r="D69" s="7">
        <v>48</v>
      </c>
      <c r="E69" s="7">
        <v>120</v>
      </c>
      <c r="F69" t="s">
        <v>727</v>
      </c>
      <c r="G69">
        <v>8</v>
      </c>
      <c r="H69">
        <v>5</v>
      </c>
    </row>
    <row r="70" spans="1:10" s="9" customFormat="1" x14ac:dyDescent="0.25">
      <c r="A70" s="9" t="s">
        <v>569</v>
      </c>
      <c r="B70" s="9">
        <v>20048</v>
      </c>
      <c r="C70" s="11" t="s">
        <v>728</v>
      </c>
      <c r="D70" s="14">
        <v>50</v>
      </c>
      <c r="E70" s="14">
        <v>120</v>
      </c>
      <c r="F70" s="13" t="s">
        <v>729</v>
      </c>
      <c r="G70" s="9">
        <v>8</v>
      </c>
      <c r="H70" s="9">
        <v>20</v>
      </c>
      <c r="J70" s="10" t="s">
        <v>4</v>
      </c>
    </row>
    <row r="71" spans="1:10" x14ac:dyDescent="0.25">
      <c r="A71" t="s">
        <v>569</v>
      </c>
      <c r="B71">
        <v>25019</v>
      </c>
      <c r="C71" s="8" t="s">
        <v>659</v>
      </c>
      <c r="D71" s="7">
        <v>50</v>
      </c>
      <c r="E71" s="7">
        <v>120</v>
      </c>
      <c r="F71" t="s">
        <v>674</v>
      </c>
      <c r="G71">
        <v>8</v>
      </c>
      <c r="H71">
        <v>26</v>
      </c>
    </row>
    <row r="72" spans="1:10" x14ac:dyDescent="0.25">
      <c r="A72" t="s">
        <v>569</v>
      </c>
      <c r="B72">
        <v>24031</v>
      </c>
      <c r="C72" s="8" t="s">
        <v>657</v>
      </c>
      <c r="D72" s="7">
        <v>49</v>
      </c>
      <c r="E72" s="7">
        <v>120</v>
      </c>
      <c r="F72" t="s">
        <v>712</v>
      </c>
      <c r="G72">
        <v>12</v>
      </c>
      <c r="H72">
        <v>20</v>
      </c>
    </row>
    <row r="73" spans="1:10" x14ac:dyDescent="0.25">
      <c r="A73" t="s">
        <v>569</v>
      </c>
      <c r="B73">
        <v>24031</v>
      </c>
      <c r="C73" s="8" t="s">
        <v>662</v>
      </c>
      <c r="D73" s="7">
        <v>49</v>
      </c>
      <c r="E73" s="7">
        <v>120</v>
      </c>
      <c r="F73" t="s">
        <v>712</v>
      </c>
      <c r="G73">
        <v>12</v>
      </c>
      <c r="H73">
        <v>20</v>
      </c>
    </row>
    <row r="74" spans="1:10" x14ac:dyDescent="0.25">
      <c r="A74" t="s">
        <v>569</v>
      </c>
      <c r="B74">
        <v>25019</v>
      </c>
      <c r="C74" s="8" t="s">
        <v>679</v>
      </c>
      <c r="D74" s="7">
        <v>50</v>
      </c>
      <c r="E74" s="7">
        <v>120</v>
      </c>
      <c r="F74" t="s">
        <v>674</v>
      </c>
      <c r="G74">
        <v>8</v>
      </c>
      <c r="H74">
        <v>12</v>
      </c>
    </row>
    <row r="75" spans="1:10" x14ac:dyDescent="0.25">
      <c r="A75" t="s">
        <v>569</v>
      </c>
      <c r="B75">
        <v>24031</v>
      </c>
      <c r="C75" s="8" t="s">
        <v>722</v>
      </c>
      <c r="D75" s="7">
        <v>49</v>
      </c>
      <c r="E75" s="7">
        <v>120</v>
      </c>
      <c r="F75" t="s">
        <v>712</v>
      </c>
      <c r="G75">
        <v>12</v>
      </c>
      <c r="H75">
        <v>25</v>
      </c>
    </row>
    <row r="76" spans="1:10" x14ac:dyDescent="0.25">
      <c r="A76" t="s">
        <v>569</v>
      </c>
      <c r="B76">
        <v>24031</v>
      </c>
      <c r="C76" s="8" t="s">
        <v>724</v>
      </c>
      <c r="D76" s="7">
        <v>49</v>
      </c>
      <c r="E76" s="7">
        <v>120</v>
      </c>
      <c r="F76" t="s">
        <v>712</v>
      </c>
      <c r="G76">
        <v>12</v>
      </c>
      <c r="H76">
        <v>25</v>
      </c>
    </row>
    <row r="77" spans="1:10" x14ac:dyDescent="0.25">
      <c r="A77" t="s">
        <v>569</v>
      </c>
      <c r="B77">
        <v>25019</v>
      </c>
      <c r="C77" s="8" t="s">
        <v>655</v>
      </c>
      <c r="D77" s="7">
        <v>50</v>
      </c>
      <c r="E77" s="7">
        <v>120</v>
      </c>
      <c r="F77" t="s">
        <v>674</v>
      </c>
      <c r="G77">
        <v>8</v>
      </c>
      <c r="H77">
        <v>30</v>
      </c>
    </row>
    <row r="78" spans="1:10" x14ac:dyDescent="0.25">
      <c r="A78" t="s">
        <v>569</v>
      </c>
      <c r="B78">
        <v>23017</v>
      </c>
      <c r="C78" s="8" t="s">
        <v>719</v>
      </c>
      <c r="D78" s="7">
        <v>50</v>
      </c>
      <c r="E78" s="7">
        <v>120</v>
      </c>
      <c r="F78" t="s">
        <v>692</v>
      </c>
      <c r="G78">
        <v>8</v>
      </c>
      <c r="H78">
        <v>35</v>
      </c>
    </row>
    <row r="79" spans="1:10" x14ac:dyDescent="0.25">
      <c r="A79" t="s">
        <v>569</v>
      </c>
      <c r="B79">
        <v>22032</v>
      </c>
      <c r="C79" s="8" t="s">
        <v>730</v>
      </c>
      <c r="D79" s="7">
        <v>50</v>
      </c>
      <c r="E79" s="7">
        <v>120</v>
      </c>
      <c r="F79" t="s">
        <v>714</v>
      </c>
      <c r="G79">
        <v>8</v>
      </c>
      <c r="H79">
        <v>8</v>
      </c>
    </row>
    <row r="80" spans="1:10" x14ac:dyDescent="0.25">
      <c r="A80" t="s">
        <v>569</v>
      </c>
      <c r="B80">
        <v>22037</v>
      </c>
      <c r="C80" s="8" t="s">
        <v>722</v>
      </c>
      <c r="D80" s="7">
        <v>50</v>
      </c>
      <c r="E80" s="7">
        <v>120</v>
      </c>
      <c r="F80" t="s">
        <v>714</v>
      </c>
      <c r="G80">
        <v>8</v>
      </c>
      <c r="H80">
        <v>1</v>
      </c>
    </row>
    <row r="81" spans="1:8" x14ac:dyDescent="0.25">
      <c r="A81" t="s">
        <v>569</v>
      </c>
      <c r="B81">
        <v>22037</v>
      </c>
      <c r="C81" s="8" t="s">
        <v>657</v>
      </c>
      <c r="D81" s="7">
        <v>48</v>
      </c>
      <c r="E81" s="7">
        <v>120</v>
      </c>
      <c r="F81" t="s">
        <v>690</v>
      </c>
      <c r="G81">
        <v>8</v>
      </c>
      <c r="H81">
        <v>4</v>
      </c>
    </row>
    <row r="82" spans="1:8" x14ac:dyDescent="0.25">
      <c r="A82" t="s">
        <v>569</v>
      </c>
      <c r="B82">
        <v>23032</v>
      </c>
      <c r="C82" s="8" t="s">
        <v>655</v>
      </c>
      <c r="D82" s="7">
        <v>50</v>
      </c>
      <c r="E82" s="7">
        <v>99</v>
      </c>
      <c r="F82" t="s">
        <v>731</v>
      </c>
      <c r="G82">
        <v>8</v>
      </c>
      <c r="H82">
        <v>7</v>
      </c>
    </row>
    <row r="83" spans="1:8" x14ac:dyDescent="0.25">
      <c r="A83" t="s">
        <v>569</v>
      </c>
      <c r="B83">
        <v>23017</v>
      </c>
      <c r="C83" s="8" t="s">
        <v>726</v>
      </c>
      <c r="D83" s="7">
        <v>50</v>
      </c>
      <c r="E83" s="7">
        <v>120</v>
      </c>
      <c r="F83" t="s">
        <v>692</v>
      </c>
      <c r="G83">
        <v>8</v>
      </c>
      <c r="H83">
        <v>12</v>
      </c>
    </row>
    <row r="84" spans="1:8" x14ac:dyDescent="0.25">
      <c r="A84" t="s">
        <v>570</v>
      </c>
      <c r="B84">
        <v>24031</v>
      </c>
      <c r="C84" s="8" t="s">
        <v>732</v>
      </c>
      <c r="D84" s="7">
        <v>50</v>
      </c>
      <c r="E84" s="7">
        <v>120</v>
      </c>
      <c r="F84" t="s">
        <v>712</v>
      </c>
      <c r="G84">
        <v>12</v>
      </c>
      <c r="H84">
        <v>20</v>
      </c>
    </row>
    <row r="85" spans="1:8" x14ac:dyDescent="0.25">
      <c r="A85" t="s">
        <v>570</v>
      </c>
      <c r="B85">
        <v>24031</v>
      </c>
      <c r="C85" s="8" t="s">
        <v>726</v>
      </c>
      <c r="D85" s="7">
        <v>50</v>
      </c>
      <c r="E85" s="7">
        <v>120</v>
      </c>
      <c r="F85" t="s">
        <v>712</v>
      </c>
      <c r="G85">
        <v>12</v>
      </c>
      <c r="H85">
        <v>120</v>
      </c>
    </row>
    <row r="86" spans="1:8" x14ac:dyDescent="0.25">
      <c r="A86" t="s">
        <v>570</v>
      </c>
      <c r="B86">
        <v>24031</v>
      </c>
      <c r="C86" s="8" t="s">
        <v>661</v>
      </c>
      <c r="D86" s="7">
        <v>50</v>
      </c>
      <c r="E86" s="7">
        <v>120</v>
      </c>
      <c r="F86" t="s">
        <v>712</v>
      </c>
      <c r="G86">
        <v>12</v>
      </c>
      <c r="H86">
        <v>120</v>
      </c>
    </row>
    <row r="87" spans="1:8" x14ac:dyDescent="0.25">
      <c r="A87" t="s">
        <v>570</v>
      </c>
      <c r="B87">
        <v>24031</v>
      </c>
      <c r="C87" s="8" t="s">
        <v>730</v>
      </c>
      <c r="D87" s="7">
        <v>50</v>
      </c>
      <c r="E87" s="7">
        <v>120</v>
      </c>
      <c r="F87" t="s">
        <v>712</v>
      </c>
      <c r="G87">
        <v>12</v>
      </c>
      <c r="H87">
        <v>120</v>
      </c>
    </row>
    <row r="88" spans="1:8" x14ac:dyDescent="0.25">
      <c r="A88" t="s">
        <v>570</v>
      </c>
      <c r="B88">
        <v>24031</v>
      </c>
      <c r="C88" s="8" t="s">
        <v>691</v>
      </c>
      <c r="D88" s="7">
        <v>50</v>
      </c>
      <c r="E88" s="7">
        <v>120</v>
      </c>
      <c r="F88" t="s">
        <v>712</v>
      </c>
      <c r="G88">
        <v>12</v>
      </c>
      <c r="H88">
        <v>120</v>
      </c>
    </row>
    <row r="89" spans="1:8" x14ac:dyDescent="0.25">
      <c r="A89" t="s">
        <v>570</v>
      </c>
      <c r="B89">
        <v>24031</v>
      </c>
      <c r="C89" s="8" t="s">
        <v>733</v>
      </c>
      <c r="D89" s="7">
        <v>50</v>
      </c>
      <c r="E89" s="7">
        <v>120</v>
      </c>
      <c r="F89" t="s">
        <v>712</v>
      </c>
      <c r="G89">
        <v>12</v>
      </c>
      <c r="H89">
        <v>120</v>
      </c>
    </row>
    <row r="90" spans="1:8" x14ac:dyDescent="0.25">
      <c r="A90" t="s">
        <v>570</v>
      </c>
      <c r="B90">
        <v>24031</v>
      </c>
      <c r="C90" s="8" t="s">
        <v>734</v>
      </c>
      <c r="D90" s="7">
        <v>50</v>
      </c>
      <c r="E90" s="7">
        <v>120</v>
      </c>
      <c r="F90" t="s">
        <v>712</v>
      </c>
      <c r="G90">
        <v>12</v>
      </c>
      <c r="H90">
        <v>120</v>
      </c>
    </row>
    <row r="91" spans="1:8" x14ac:dyDescent="0.25">
      <c r="A91" t="s">
        <v>571</v>
      </c>
      <c r="B91">
        <v>24013</v>
      </c>
      <c r="C91" s="8" t="s">
        <v>659</v>
      </c>
      <c r="D91" s="7">
        <v>50</v>
      </c>
      <c r="E91" s="7">
        <v>120</v>
      </c>
      <c r="F91" t="s">
        <v>735</v>
      </c>
      <c r="G91">
        <v>8</v>
      </c>
      <c r="H91">
        <v>30</v>
      </c>
    </row>
    <row r="92" spans="1:8" x14ac:dyDescent="0.25">
      <c r="A92" t="s">
        <v>571</v>
      </c>
      <c r="B92">
        <v>24013</v>
      </c>
      <c r="C92" s="8" t="s">
        <v>659</v>
      </c>
      <c r="D92" s="7">
        <v>50</v>
      </c>
      <c r="E92" s="7">
        <v>121</v>
      </c>
      <c r="F92" t="s">
        <v>736</v>
      </c>
      <c r="G92">
        <v>8</v>
      </c>
      <c r="H92">
        <v>30</v>
      </c>
    </row>
    <row r="93" spans="1:8" x14ac:dyDescent="0.25">
      <c r="A93" t="s">
        <v>571</v>
      </c>
      <c r="B93">
        <v>24013</v>
      </c>
      <c r="C93" s="8" t="s">
        <v>659</v>
      </c>
      <c r="D93" s="7">
        <v>50</v>
      </c>
      <c r="E93" s="7">
        <v>122</v>
      </c>
      <c r="F93" t="s">
        <v>737</v>
      </c>
      <c r="G93">
        <v>8</v>
      </c>
      <c r="H93">
        <v>30</v>
      </c>
    </row>
    <row r="94" spans="1:8" x14ac:dyDescent="0.25">
      <c r="A94" t="s">
        <v>571</v>
      </c>
      <c r="B94">
        <v>24013</v>
      </c>
      <c r="C94" s="8" t="s">
        <v>659</v>
      </c>
      <c r="D94" s="7">
        <v>50</v>
      </c>
      <c r="E94" s="7">
        <v>123</v>
      </c>
      <c r="F94" t="s">
        <v>738</v>
      </c>
      <c r="G94">
        <v>8</v>
      </c>
      <c r="H94">
        <v>30</v>
      </c>
    </row>
    <row r="95" spans="1:8" x14ac:dyDescent="0.25">
      <c r="A95" t="s">
        <v>571</v>
      </c>
      <c r="B95">
        <v>24013</v>
      </c>
      <c r="C95" s="8" t="s">
        <v>659</v>
      </c>
      <c r="D95" s="7">
        <v>50</v>
      </c>
      <c r="E95" s="7">
        <v>124</v>
      </c>
      <c r="F95" t="s">
        <v>739</v>
      </c>
      <c r="G95">
        <v>8</v>
      </c>
      <c r="H95">
        <v>30</v>
      </c>
    </row>
    <row r="96" spans="1:8" x14ac:dyDescent="0.25">
      <c r="A96" t="s">
        <v>571</v>
      </c>
      <c r="B96">
        <v>24013</v>
      </c>
      <c r="C96" s="8" t="s">
        <v>659</v>
      </c>
      <c r="D96" s="7">
        <v>50</v>
      </c>
      <c r="E96" s="7">
        <v>125</v>
      </c>
      <c r="F96" t="s">
        <v>740</v>
      </c>
      <c r="G96">
        <v>8</v>
      </c>
      <c r="H96">
        <v>30</v>
      </c>
    </row>
    <row r="97" spans="1:8" x14ac:dyDescent="0.25">
      <c r="A97" t="s">
        <v>571</v>
      </c>
      <c r="B97">
        <v>24013</v>
      </c>
      <c r="C97" s="8" t="s">
        <v>659</v>
      </c>
      <c r="D97" s="7">
        <v>50</v>
      </c>
      <c r="E97" s="7">
        <v>126</v>
      </c>
      <c r="F97" t="s">
        <v>741</v>
      </c>
      <c r="G97">
        <v>8</v>
      </c>
      <c r="H97">
        <v>30</v>
      </c>
    </row>
    <row r="98" spans="1:8" x14ac:dyDescent="0.25">
      <c r="A98" t="s">
        <v>571</v>
      </c>
      <c r="B98">
        <v>24013</v>
      </c>
      <c r="C98" s="8" t="s">
        <v>659</v>
      </c>
      <c r="D98" s="7">
        <v>50</v>
      </c>
      <c r="E98" s="7">
        <v>127</v>
      </c>
      <c r="F98" t="s">
        <v>742</v>
      </c>
      <c r="G98">
        <v>8</v>
      </c>
      <c r="H98">
        <v>30</v>
      </c>
    </row>
    <row r="99" spans="1:8" x14ac:dyDescent="0.25">
      <c r="A99" t="s">
        <v>571</v>
      </c>
      <c r="B99">
        <v>24013</v>
      </c>
      <c r="C99" s="8" t="s">
        <v>659</v>
      </c>
      <c r="D99" s="7">
        <v>50</v>
      </c>
      <c r="E99" s="7">
        <v>128</v>
      </c>
      <c r="F99" t="s">
        <v>743</v>
      </c>
      <c r="G99">
        <v>8</v>
      </c>
      <c r="H99">
        <v>30</v>
      </c>
    </row>
    <row r="100" spans="1:8" x14ac:dyDescent="0.25">
      <c r="A100" t="s">
        <v>571</v>
      </c>
      <c r="B100">
        <v>24013</v>
      </c>
      <c r="C100" s="8" t="s">
        <v>659</v>
      </c>
      <c r="D100" s="7">
        <v>50</v>
      </c>
      <c r="E100" s="7">
        <v>129</v>
      </c>
      <c r="F100" t="s">
        <v>744</v>
      </c>
      <c r="G100">
        <v>8</v>
      </c>
      <c r="H100">
        <v>30</v>
      </c>
    </row>
    <row r="101" spans="1:8" x14ac:dyDescent="0.25">
      <c r="A101" t="s">
        <v>571</v>
      </c>
      <c r="B101">
        <v>24013</v>
      </c>
      <c r="C101" s="8" t="s">
        <v>659</v>
      </c>
      <c r="D101" s="7">
        <v>50</v>
      </c>
      <c r="E101" s="7">
        <v>130</v>
      </c>
      <c r="F101" t="s">
        <v>745</v>
      </c>
      <c r="G101">
        <v>8</v>
      </c>
      <c r="H101">
        <v>30</v>
      </c>
    </row>
    <row r="102" spans="1:8" x14ac:dyDescent="0.25">
      <c r="A102" t="s">
        <v>571</v>
      </c>
      <c r="B102">
        <v>24013</v>
      </c>
      <c r="C102" s="8" t="s">
        <v>659</v>
      </c>
      <c r="D102" s="7">
        <v>50</v>
      </c>
      <c r="E102" s="7">
        <v>131</v>
      </c>
      <c r="F102" t="s">
        <v>746</v>
      </c>
      <c r="G102">
        <v>8</v>
      </c>
      <c r="H102">
        <v>30</v>
      </c>
    </row>
    <row r="103" spans="1:8" x14ac:dyDescent="0.25">
      <c r="A103" t="s">
        <v>571</v>
      </c>
      <c r="B103">
        <v>24013</v>
      </c>
      <c r="C103" s="8" t="s">
        <v>659</v>
      </c>
      <c r="D103" s="7">
        <v>50</v>
      </c>
      <c r="E103" s="7">
        <v>132</v>
      </c>
      <c r="F103" t="s">
        <v>747</v>
      </c>
      <c r="G103">
        <v>8</v>
      </c>
      <c r="H103">
        <v>30</v>
      </c>
    </row>
    <row r="104" spans="1:8" x14ac:dyDescent="0.25">
      <c r="A104" t="s">
        <v>571</v>
      </c>
      <c r="B104">
        <v>24013</v>
      </c>
      <c r="C104" s="8" t="s">
        <v>659</v>
      </c>
      <c r="D104" s="7">
        <v>50</v>
      </c>
      <c r="E104" s="7">
        <v>133</v>
      </c>
      <c r="F104" t="s">
        <v>748</v>
      </c>
      <c r="G104">
        <v>8</v>
      </c>
      <c r="H104">
        <v>30</v>
      </c>
    </row>
    <row r="105" spans="1:8" x14ac:dyDescent="0.25">
      <c r="A105" t="s">
        <v>571</v>
      </c>
      <c r="B105">
        <v>24013</v>
      </c>
      <c r="C105" s="8" t="s">
        <v>659</v>
      </c>
      <c r="D105" s="7">
        <v>50</v>
      </c>
      <c r="E105" s="7">
        <v>134</v>
      </c>
      <c r="F105" t="s">
        <v>749</v>
      </c>
      <c r="G105">
        <v>8</v>
      </c>
      <c r="H105">
        <v>30</v>
      </c>
    </row>
    <row r="106" spans="1:8" x14ac:dyDescent="0.25">
      <c r="A106" t="s">
        <v>571</v>
      </c>
      <c r="B106">
        <v>24013</v>
      </c>
      <c r="C106" s="8" t="s">
        <v>659</v>
      </c>
      <c r="D106" s="7">
        <v>50</v>
      </c>
      <c r="E106" s="7">
        <v>135</v>
      </c>
      <c r="F106" t="s">
        <v>750</v>
      </c>
      <c r="G106">
        <v>8</v>
      </c>
      <c r="H106">
        <v>6</v>
      </c>
    </row>
    <row r="107" spans="1:8" x14ac:dyDescent="0.25">
      <c r="A107" t="s">
        <v>571</v>
      </c>
      <c r="B107">
        <v>24013</v>
      </c>
      <c r="C107" s="8" t="s">
        <v>659</v>
      </c>
      <c r="D107" s="7">
        <v>50</v>
      </c>
      <c r="E107" s="7">
        <v>136</v>
      </c>
      <c r="F107" t="s">
        <v>751</v>
      </c>
      <c r="G107">
        <v>8</v>
      </c>
      <c r="H107">
        <v>30</v>
      </c>
    </row>
    <row r="108" spans="1:8" x14ac:dyDescent="0.25">
      <c r="A108" t="s">
        <v>571</v>
      </c>
      <c r="B108">
        <v>24013</v>
      </c>
      <c r="C108" s="8" t="s">
        <v>659</v>
      </c>
      <c r="D108" s="7">
        <v>50</v>
      </c>
      <c r="E108" s="7">
        <v>137</v>
      </c>
      <c r="F108" t="s">
        <v>752</v>
      </c>
      <c r="G108">
        <v>8</v>
      </c>
      <c r="H108">
        <v>30</v>
      </c>
    </row>
    <row r="109" spans="1:8" x14ac:dyDescent="0.25">
      <c r="A109" t="s">
        <v>571</v>
      </c>
      <c r="B109">
        <v>24013</v>
      </c>
      <c r="C109" s="8" t="s">
        <v>659</v>
      </c>
      <c r="D109" s="7">
        <v>50</v>
      </c>
      <c r="E109" s="7">
        <v>138</v>
      </c>
      <c r="F109" t="s">
        <v>753</v>
      </c>
      <c r="G109">
        <v>8</v>
      </c>
      <c r="H109">
        <v>30</v>
      </c>
    </row>
    <row r="110" spans="1:8" x14ac:dyDescent="0.25">
      <c r="A110" t="s">
        <v>571</v>
      </c>
      <c r="B110">
        <v>24013</v>
      </c>
      <c r="C110" s="8" t="s">
        <v>659</v>
      </c>
      <c r="D110" s="7">
        <v>50</v>
      </c>
      <c r="E110" s="7">
        <v>139</v>
      </c>
      <c r="F110" t="s">
        <v>754</v>
      </c>
      <c r="G110">
        <v>8</v>
      </c>
      <c r="H110">
        <v>30</v>
      </c>
    </row>
    <row r="111" spans="1:8" x14ac:dyDescent="0.25">
      <c r="A111" t="s">
        <v>571</v>
      </c>
      <c r="B111">
        <v>24013</v>
      </c>
      <c r="C111" s="8" t="s">
        <v>659</v>
      </c>
      <c r="D111" s="7">
        <v>50</v>
      </c>
      <c r="E111" s="7">
        <v>140</v>
      </c>
      <c r="F111" t="s">
        <v>755</v>
      </c>
      <c r="G111">
        <v>8</v>
      </c>
      <c r="H111">
        <v>30</v>
      </c>
    </row>
    <row r="112" spans="1:8" x14ac:dyDescent="0.25">
      <c r="A112" t="s">
        <v>571</v>
      </c>
      <c r="B112">
        <v>24013</v>
      </c>
      <c r="C112" s="8" t="s">
        <v>659</v>
      </c>
      <c r="D112" s="7">
        <v>50</v>
      </c>
      <c r="E112" s="7">
        <v>141</v>
      </c>
      <c r="F112" t="s">
        <v>756</v>
      </c>
      <c r="G112">
        <v>8</v>
      </c>
      <c r="H112">
        <v>30</v>
      </c>
    </row>
    <row r="113" spans="1:8" x14ac:dyDescent="0.25">
      <c r="A113" t="s">
        <v>571</v>
      </c>
      <c r="B113">
        <v>24013</v>
      </c>
      <c r="C113" s="8" t="s">
        <v>659</v>
      </c>
      <c r="D113" s="7">
        <v>50</v>
      </c>
      <c r="E113" s="7">
        <v>142</v>
      </c>
      <c r="F113" t="s">
        <v>757</v>
      </c>
      <c r="G113">
        <v>8</v>
      </c>
      <c r="H113">
        <v>30</v>
      </c>
    </row>
    <row r="114" spans="1:8" x14ac:dyDescent="0.25">
      <c r="A114" t="s">
        <v>571</v>
      </c>
      <c r="B114">
        <v>24013</v>
      </c>
      <c r="C114" s="8" t="s">
        <v>659</v>
      </c>
      <c r="D114" s="7">
        <v>50</v>
      </c>
      <c r="E114" s="7">
        <v>143</v>
      </c>
      <c r="F114" t="s">
        <v>758</v>
      </c>
      <c r="G114">
        <v>8</v>
      </c>
      <c r="H114">
        <v>30</v>
      </c>
    </row>
    <row r="115" spans="1:8" x14ac:dyDescent="0.25">
      <c r="A115" t="s">
        <v>571</v>
      </c>
      <c r="B115">
        <v>24013</v>
      </c>
      <c r="C115" s="8" t="s">
        <v>659</v>
      </c>
      <c r="D115" s="7">
        <v>50</v>
      </c>
      <c r="E115" s="7">
        <v>144</v>
      </c>
      <c r="F115" t="s">
        <v>759</v>
      </c>
      <c r="G115">
        <v>8</v>
      </c>
      <c r="H115">
        <v>30</v>
      </c>
    </row>
    <row r="116" spans="1:8" x14ac:dyDescent="0.25">
      <c r="A116" t="s">
        <v>571</v>
      </c>
      <c r="B116">
        <v>24013</v>
      </c>
      <c r="C116" s="8" t="s">
        <v>659</v>
      </c>
      <c r="D116" s="7">
        <v>50</v>
      </c>
      <c r="E116" s="7">
        <v>145</v>
      </c>
      <c r="F116" t="s">
        <v>760</v>
      </c>
      <c r="G116">
        <v>8</v>
      </c>
      <c r="H116">
        <v>30</v>
      </c>
    </row>
    <row r="117" spans="1:8" x14ac:dyDescent="0.25">
      <c r="A117" t="s">
        <v>571</v>
      </c>
      <c r="B117">
        <v>24013</v>
      </c>
      <c r="C117" s="8" t="s">
        <v>659</v>
      </c>
      <c r="D117" s="7">
        <v>50</v>
      </c>
      <c r="E117" s="7">
        <v>146</v>
      </c>
      <c r="F117" t="s">
        <v>761</v>
      </c>
      <c r="G117">
        <v>8</v>
      </c>
      <c r="H117">
        <v>30</v>
      </c>
    </row>
    <row r="118" spans="1:8" x14ac:dyDescent="0.25">
      <c r="A118" t="s">
        <v>571</v>
      </c>
      <c r="B118">
        <v>24013</v>
      </c>
      <c r="C118" s="8" t="s">
        <v>659</v>
      </c>
      <c r="D118" s="7">
        <v>50</v>
      </c>
      <c r="E118" s="7">
        <v>147</v>
      </c>
      <c r="F118" t="s">
        <v>762</v>
      </c>
      <c r="G118">
        <v>8</v>
      </c>
      <c r="H118">
        <v>30</v>
      </c>
    </row>
    <row r="119" spans="1:8" x14ac:dyDescent="0.25">
      <c r="A119" t="s">
        <v>571</v>
      </c>
      <c r="B119">
        <v>24013</v>
      </c>
      <c r="C119" s="8" t="s">
        <v>659</v>
      </c>
      <c r="D119" s="7">
        <v>50</v>
      </c>
      <c r="E119" s="7">
        <v>148</v>
      </c>
      <c r="F119" t="s">
        <v>763</v>
      </c>
      <c r="G119">
        <v>8</v>
      </c>
      <c r="H119">
        <v>30</v>
      </c>
    </row>
    <row r="120" spans="1:8" x14ac:dyDescent="0.25">
      <c r="A120" t="s">
        <v>571</v>
      </c>
      <c r="B120">
        <v>24013</v>
      </c>
      <c r="C120" s="8" t="s">
        <v>659</v>
      </c>
      <c r="D120" s="7">
        <v>50</v>
      </c>
      <c r="E120" s="7">
        <v>149</v>
      </c>
      <c r="F120" t="s">
        <v>764</v>
      </c>
      <c r="G120">
        <v>8</v>
      </c>
      <c r="H120">
        <v>30</v>
      </c>
    </row>
    <row r="121" spans="1:8" x14ac:dyDescent="0.25">
      <c r="A121" t="s">
        <v>571</v>
      </c>
      <c r="B121">
        <v>24013</v>
      </c>
      <c r="C121" s="8" t="s">
        <v>659</v>
      </c>
      <c r="D121" s="7">
        <v>50</v>
      </c>
      <c r="E121" s="7">
        <v>151</v>
      </c>
      <c r="F121" t="s">
        <v>765</v>
      </c>
      <c r="G121">
        <v>8</v>
      </c>
      <c r="H121">
        <v>30</v>
      </c>
    </row>
    <row r="122" spans="1:8" x14ac:dyDescent="0.25">
      <c r="A122" t="s">
        <v>571</v>
      </c>
      <c r="B122">
        <v>24013</v>
      </c>
      <c r="C122" s="8" t="s">
        <v>659</v>
      </c>
      <c r="D122" s="7">
        <v>50</v>
      </c>
      <c r="E122" s="7">
        <v>152</v>
      </c>
      <c r="F122" t="s">
        <v>766</v>
      </c>
      <c r="G122">
        <v>8</v>
      </c>
      <c r="H122">
        <v>30</v>
      </c>
    </row>
    <row r="123" spans="1:8" x14ac:dyDescent="0.25">
      <c r="A123" t="s">
        <v>571</v>
      </c>
      <c r="B123">
        <v>24013</v>
      </c>
      <c r="C123" s="8" t="s">
        <v>659</v>
      </c>
      <c r="D123" s="7">
        <v>50</v>
      </c>
      <c r="E123" s="7">
        <v>153</v>
      </c>
      <c r="F123" t="s">
        <v>767</v>
      </c>
      <c r="G123">
        <v>8</v>
      </c>
      <c r="H123">
        <v>30</v>
      </c>
    </row>
    <row r="124" spans="1:8" x14ac:dyDescent="0.25">
      <c r="A124" t="s">
        <v>571</v>
      </c>
      <c r="B124">
        <v>24013</v>
      </c>
      <c r="C124" s="8" t="s">
        <v>659</v>
      </c>
      <c r="D124" s="7">
        <v>50</v>
      </c>
      <c r="E124" s="7">
        <v>154</v>
      </c>
      <c r="F124" t="s">
        <v>768</v>
      </c>
      <c r="G124">
        <v>8</v>
      </c>
      <c r="H124">
        <v>30</v>
      </c>
    </row>
    <row r="125" spans="1:8" x14ac:dyDescent="0.25">
      <c r="A125" t="s">
        <v>571</v>
      </c>
      <c r="B125">
        <v>24013</v>
      </c>
      <c r="C125" s="8" t="s">
        <v>659</v>
      </c>
      <c r="D125" s="7">
        <v>50</v>
      </c>
      <c r="E125" s="7">
        <v>155</v>
      </c>
      <c r="F125" t="s">
        <v>769</v>
      </c>
      <c r="G125">
        <v>8</v>
      </c>
      <c r="H125">
        <v>30</v>
      </c>
    </row>
    <row r="126" spans="1:8" x14ac:dyDescent="0.25">
      <c r="A126" t="s">
        <v>571</v>
      </c>
      <c r="B126">
        <v>24013</v>
      </c>
      <c r="C126" s="8" t="s">
        <v>659</v>
      </c>
      <c r="D126" s="7">
        <v>50</v>
      </c>
      <c r="E126" s="7">
        <v>156</v>
      </c>
      <c r="F126" t="s">
        <v>770</v>
      </c>
      <c r="G126">
        <v>8</v>
      </c>
      <c r="H126">
        <v>33</v>
      </c>
    </row>
    <row r="127" spans="1:8" x14ac:dyDescent="0.25">
      <c r="A127" t="s">
        <v>571</v>
      </c>
      <c r="B127">
        <v>24013</v>
      </c>
      <c r="C127" s="8" t="s">
        <v>659</v>
      </c>
      <c r="D127" s="7">
        <v>50</v>
      </c>
      <c r="E127" s="7">
        <v>157</v>
      </c>
      <c r="F127" t="s">
        <v>771</v>
      </c>
      <c r="G127">
        <v>8</v>
      </c>
      <c r="H127">
        <v>30</v>
      </c>
    </row>
    <row r="128" spans="1:8" x14ac:dyDescent="0.25">
      <c r="A128" t="s">
        <v>571</v>
      </c>
      <c r="B128">
        <v>24013</v>
      </c>
      <c r="C128" s="8" t="s">
        <v>659</v>
      </c>
      <c r="D128" s="7">
        <v>50</v>
      </c>
      <c r="E128" s="7">
        <v>158</v>
      </c>
      <c r="F128" t="s">
        <v>772</v>
      </c>
      <c r="G128">
        <v>8</v>
      </c>
      <c r="H128">
        <v>30</v>
      </c>
    </row>
    <row r="129" spans="1:8" x14ac:dyDescent="0.25">
      <c r="A129" t="s">
        <v>571</v>
      </c>
      <c r="B129">
        <v>24013</v>
      </c>
      <c r="C129" s="8" t="s">
        <v>659</v>
      </c>
      <c r="D129" s="7">
        <v>50</v>
      </c>
      <c r="E129" s="7">
        <v>159</v>
      </c>
      <c r="F129" t="s">
        <v>773</v>
      </c>
      <c r="G129">
        <v>8</v>
      </c>
      <c r="H129">
        <v>30</v>
      </c>
    </row>
    <row r="130" spans="1:8" x14ac:dyDescent="0.25">
      <c r="A130" t="s">
        <v>571</v>
      </c>
      <c r="B130">
        <v>24013</v>
      </c>
      <c r="C130" s="8" t="s">
        <v>659</v>
      </c>
      <c r="D130" s="7">
        <v>50</v>
      </c>
      <c r="E130" s="7">
        <v>160</v>
      </c>
      <c r="F130" t="s">
        <v>774</v>
      </c>
      <c r="G130">
        <v>8</v>
      </c>
      <c r="H130">
        <v>30</v>
      </c>
    </row>
    <row r="131" spans="1:8" x14ac:dyDescent="0.25">
      <c r="A131" t="s">
        <v>571</v>
      </c>
      <c r="B131">
        <v>24013</v>
      </c>
      <c r="C131" s="8" t="s">
        <v>659</v>
      </c>
      <c r="D131" s="7">
        <v>50</v>
      </c>
      <c r="E131" s="7">
        <v>162</v>
      </c>
      <c r="F131" t="s">
        <v>775</v>
      </c>
      <c r="G131">
        <v>8</v>
      </c>
      <c r="H131">
        <v>2</v>
      </c>
    </row>
    <row r="132" spans="1:8" x14ac:dyDescent="0.25">
      <c r="A132" t="s">
        <v>571</v>
      </c>
      <c r="B132">
        <v>24013</v>
      </c>
      <c r="C132" s="8" t="s">
        <v>659</v>
      </c>
      <c r="D132" s="7">
        <v>50</v>
      </c>
      <c r="E132" s="7">
        <v>163</v>
      </c>
      <c r="F132" t="s">
        <v>776</v>
      </c>
      <c r="G132">
        <v>8</v>
      </c>
      <c r="H132">
        <v>30</v>
      </c>
    </row>
    <row r="133" spans="1:8" x14ac:dyDescent="0.25">
      <c r="A133" t="s">
        <v>571</v>
      </c>
      <c r="B133">
        <v>24013</v>
      </c>
      <c r="C133" s="8" t="s">
        <v>659</v>
      </c>
      <c r="D133" s="7">
        <v>50</v>
      </c>
      <c r="E133" s="7">
        <v>164</v>
      </c>
      <c r="F133" t="s">
        <v>777</v>
      </c>
      <c r="G133">
        <v>8</v>
      </c>
      <c r="H133">
        <v>30</v>
      </c>
    </row>
    <row r="134" spans="1:8" x14ac:dyDescent="0.25">
      <c r="A134" t="s">
        <v>571</v>
      </c>
      <c r="B134">
        <v>24013</v>
      </c>
      <c r="C134" s="8" t="s">
        <v>659</v>
      </c>
      <c r="D134" s="7">
        <v>50</v>
      </c>
      <c r="E134" s="7">
        <v>165</v>
      </c>
      <c r="F134" t="s">
        <v>778</v>
      </c>
      <c r="G134">
        <v>8</v>
      </c>
      <c r="H134">
        <v>30</v>
      </c>
    </row>
    <row r="135" spans="1:8" x14ac:dyDescent="0.25">
      <c r="A135" t="s">
        <v>571</v>
      </c>
      <c r="B135">
        <v>24013</v>
      </c>
      <c r="C135" s="8" t="s">
        <v>659</v>
      </c>
      <c r="D135" s="7">
        <v>50</v>
      </c>
      <c r="E135" s="7">
        <v>166</v>
      </c>
      <c r="F135" t="s">
        <v>779</v>
      </c>
      <c r="G135">
        <v>8</v>
      </c>
      <c r="H135">
        <v>30</v>
      </c>
    </row>
    <row r="136" spans="1:8" x14ac:dyDescent="0.25">
      <c r="A136" t="s">
        <v>571</v>
      </c>
      <c r="B136">
        <v>24013</v>
      </c>
      <c r="C136" s="8" t="s">
        <v>659</v>
      </c>
      <c r="D136" s="7">
        <v>50</v>
      </c>
      <c r="E136" s="7">
        <v>167</v>
      </c>
      <c r="F136" t="s">
        <v>780</v>
      </c>
      <c r="G136">
        <v>8</v>
      </c>
      <c r="H136">
        <v>30</v>
      </c>
    </row>
    <row r="137" spans="1:8" x14ac:dyDescent="0.25">
      <c r="A137" t="s">
        <v>571</v>
      </c>
      <c r="B137">
        <v>24013</v>
      </c>
      <c r="C137" s="8" t="s">
        <v>659</v>
      </c>
      <c r="D137" s="7">
        <v>50</v>
      </c>
      <c r="E137" s="7">
        <v>169</v>
      </c>
      <c r="F137" t="s">
        <v>781</v>
      </c>
      <c r="G137">
        <v>8</v>
      </c>
      <c r="H137">
        <v>30</v>
      </c>
    </row>
    <row r="138" spans="1:8" x14ac:dyDescent="0.25">
      <c r="A138" t="s">
        <v>571</v>
      </c>
      <c r="B138">
        <v>24013</v>
      </c>
      <c r="C138" s="8" t="s">
        <v>659</v>
      </c>
      <c r="D138" s="7">
        <v>50</v>
      </c>
      <c r="E138" s="7">
        <v>170</v>
      </c>
      <c r="F138" t="s">
        <v>782</v>
      </c>
      <c r="G138">
        <v>8</v>
      </c>
      <c r="H138">
        <v>30</v>
      </c>
    </row>
    <row r="139" spans="1:8" x14ac:dyDescent="0.25">
      <c r="A139" t="s">
        <v>571</v>
      </c>
      <c r="B139">
        <v>24013</v>
      </c>
      <c r="C139" s="8" t="s">
        <v>659</v>
      </c>
      <c r="D139" s="7">
        <v>50</v>
      </c>
      <c r="E139" s="7">
        <v>171</v>
      </c>
      <c r="F139" t="s">
        <v>783</v>
      </c>
      <c r="G139">
        <v>8</v>
      </c>
      <c r="H139">
        <v>30</v>
      </c>
    </row>
    <row r="140" spans="1:8" x14ac:dyDescent="0.25">
      <c r="A140" t="s">
        <v>571</v>
      </c>
      <c r="B140">
        <v>24013</v>
      </c>
      <c r="C140" s="8" t="s">
        <v>659</v>
      </c>
      <c r="D140" s="7">
        <v>50</v>
      </c>
      <c r="E140" s="7">
        <v>172</v>
      </c>
      <c r="F140" t="s">
        <v>784</v>
      </c>
      <c r="G140">
        <v>8</v>
      </c>
      <c r="H140">
        <v>30</v>
      </c>
    </row>
    <row r="141" spans="1:8" x14ac:dyDescent="0.25">
      <c r="A141" t="s">
        <v>571</v>
      </c>
      <c r="B141">
        <v>24013</v>
      </c>
      <c r="C141" s="8" t="s">
        <v>659</v>
      </c>
      <c r="D141" s="7">
        <v>50</v>
      </c>
      <c r="E141" s="7">
        <v>173</v>
      </c>
      <c r="F141" t="s">
        <v>785</v>
      </c>
      <c r="G141">
        <v>8</v>
      </c>
      <c r="H141">
        <v>30</v>
      </c>
    </row>
    <row r="142" spans="1:8" x14ac:dyDescent="0.25">
      <c r="A142" t="s">
        <v>571</v>
      </c>
      <c r="B142">
        <v>24013</v>
      </c>
      <c r="C142" s="8" t="s">
        <v>659</v>
      </c>
      <c r="D142" s="7">
        <v>50</v>
      </c>
      <c r="E142" s="7">
        <v>174</v>
      </c>
      <c r="F142" t="s">
        <v>786</v>
      </c>
      <c r="G142">
        <v>8</v>
      </c>
      <c r="H142">
        <v>30</v>
      </c>
    </row>
    <row r="143" spans="1:8" x14ac:dyDescent="0.25">
      <c r="A143" t="s">
        <v>571</v>
      </c>
      <c r="B143">
        <v>24013</v>
      </c>
      <c r="C143" s="8" t="s">
        <v>659</v>
      </c>
      <c r="D143" s="7">
        <v>50</v>
      </c>
      <c r="E143" s="7">
        <v>175</v>
      </c>
      <c r="F143" t="s">
        <v>787</v>
      </c>
      <c r="G143">
        <v>8</v>
      </c>
      <c r="H143">
        <v>12</v>
      </c>
    </row>
    <row r="144" spans="1:8" x14ac:dyDescent="0.25">
      <c r="A144" t="s">
        <v>571</v>
      </c>
      <c r="B144">
        <v>24013</v>
      </c>
      <c r="C144" s="8" t="s">
        <v>659</v>
      </c>
      <c r="D144" s="7">
        <v>50</v>
      </c>
      <c r="E144" s="7">
        <v>176</v>
      </c>
      <c r="F144" t="s">
        <v>788</v>
      </c>
      <c r="G144">
        <v>8</v>
      </c>
      <c r="H144">
        <v>30</v>
      </c>
    </row>
    <row r="145" spans="1:8" x14ac:dyDescent="0.25">
      <c r="A145" t="s">
        <v>571</v>
      </c>
      <c r="B145">
        <v>24013</v>
      </c>
      <c r="C145" s="8" t="s">
        <v>659</v>
      </c>
      <c r="D145" s="7">
        <v>50</v>
      </c>
      <c r="E145" s="7">
        <v>177</v>
      </c>
      <c r="F145" t="s">
        <v>789</v>
      </c>
      <c r="G145">
        <v>8</v>
      </c>
      <c r="H145">
        <v>30</v>
      </c>
    </row>
    <row r="146" spans="1:8" x14ac:dyDescent="0.25">
      <c r="A146" t="s">
        <v>571</v>
      </c>
      <c r="B146">
        <v>24013</v>
      </c>
      <c r="C146" s="8" t="s">
        <v>659</v>
      </c>
      <c r="D146" s="7">
        <v>50</v>
      </c>
      <c r="E146" s="7">
        <v>178</v>
      </c>
      <c r="F146" t="s">
        <v>790</v>
      </c>
      <c r="G146">
        <v>8</v>
      </c>
      <c r="H146">
        <v>30</v>
      </c>
    </row>
    <row r="147" spans="1:8" x14ac:dyDescent="0.25">
      <c r="A147" t="s">
        <v>571</v>
      </c>
      <c r="B147">
        <v>24013</v>
      </c>
      <c r="C147" s="8" t="s">
        <v>659</v>
      </c>
      <c r="D147" s="7">
        <v>50</v>
      </c>
      <c r="E147" s="7">
        <v>179</v>
      </c>
      <c r="F147" t="s">
        <v>791</v>
      </c>
      <c r="G147">
        <v>8</v>
      </c>
      <c r="H147">
        <v>30</v>
      </c>
    </row>
    <row r="148" spans="1:8" x14ac:dyDescent="0.25">
      <c r="A148" t="s">
        <v>571</v>
      </c>
      <c r="B148">
        <v>24029</v>
      </c>
      <c r="C148" s="8" t="s">
        <v>659</v>
      </c>
      <c r="D148" s="7">
        <v>50</v>
      </c>
      <c r="E148" s="7">
        <v>120</v>
      </c>
      <c r="F148" t="s">
        <v>897</v>
      </c>
      <c r="G148">
        <v>12</v>
      </c>
      <c r="H148">
        <v>20</v>
      </c>
    </row>
    <row r="149" spans="1:8" x14ac:dyDescent="0.25">
      <c r="A149" t="s">
        <v>571</v>
      </c>
      <c r="B149">
        <v>24029</v>
      </c>
      <c r="C149" s="8" t="s">
        <v>659</v>
      </c>
      <c r="D149" s="7">
        <v>50</v>
      </c>
      <c r="E149" s="7">
        <v>120</v>
      </c>
      <c r="F149" t="s">
        <v>897</v>
      </c>
      <c r="G149">
        <v>12</v>
      </c>
      <c r="H149">
        <v>5</v>
      </c>
    </row>
    <row r="150" spans="1:8" x14ac:dyDescent="0.25">
      <c r="A150" t="s">
        <v>571</v>
      </c>
      <c r="B150">
        <v>24029</v>
      </c>
      <c r="C150" s="8" t="s">
        <v>659</v>
      </c>
      <c r="D150" s="7">
        <v>50</v>
      </c>
      <c r="E150" s="7">
        <v>120</v>
      </c>
      <c r="F150" t="s">
        <v>898</v>
      </c>
      <c r="G150">
        <v>12</v>
      </c>
      <c r="H150">
        <v>5</v>
      </c>
    </row>
    <row r="151" spans="1:8" x14ac:dyDescent="0.25">
      <c r="A151" t="s">
        <v>571</v>
      </c>
      <c r="B151">
        <v>24029</v>
      </c>
      <c r="C151" s="8" t="s">
        <v>659</v>
      </c>
      <c r="D151" s="7">
        <v>50</v>
      </c>
      <c r="E151" s="7">
        <v>120</v>
      </c>
      <c r="F151" t="s">
        <v>897</v>
      </c>
      <c r="G151">
        <v>12</v>
      </c>
      <c r="H151">
        <v>20</v>
      </c>
    </row>
    <row r="152" spans="1:8" x14ac:dyDescent="0.25">
      <c r="A152" t="s">
        <v>571</v>
      </c>
      <c r="B152">
        <v>24029</v>
      </c>
      <c r="C152" s="8" t="s">
        <v>659</v>
      </c>
      <c r="D152" s="7">
        <v>50</v>
      </c>
      <c r="E152" s="7">
        <v>120</v>
      </c>
      <c r="F152" t="s">
        <v>897</v>
      </c>
      <c r="G152">
        <v>12</v>
      </c>
      <c r="H152">
        <v>20</v>
      </c>
    </row>
    <row r="153" spans="1:8" x14ac:dyDescent="0.25">
      <c r="A153" t="s">
        <v>571</v>
      </c>
      <c r="B153">
        <v>24029</v>
      </c>
      <c r="C153" s="8" t="s">
        <v>659</v>
      </c>
      <c r="D153" s="7">
        <v>50</v>
      </c>
      <c r="E153" s="7">
        <v>120</v>
      </c>
      <c r="F153" t="s">
        <v>898</v>
      </c>
      <c r="G153">
        <v>12</v>
      </c>
      <c r="H153">
        <v>20</v>
      </c>
    </row>
    <row r="154" spans="1:8" x14ac:dyDescent="0.25">
      <c r="A154" t="s">
        <v>571</v>
      </c>
      <c r="B154">
        <v>24029</v>
      </c>
      <c r="C154" s="8" t="s">
        <v>659</v>
      </c>
      <c r="D154" s="7">
        <v>50</v>
      </c>
      <c r="E154" s="7">
        <v>120</v>
      </c>
      <c r="F154" t="s">
        <v>898</v>
      </c>
      <c r="G154">
        <v>12</v>
      </c>
      <c r="H154">
        <v>20</v>
      </c>
    </row>
    <row r="155" spans="1:8" x14ac:dyDescent="0.25">
      <c r="A155" t="s">
        <v>571</v>
      </c>
      <c r="B155">
        <v>24029</v>
      </c>
      <c r="C155" s="8" t="s">
        <v>659</v>
      </c>
      <c r="D155" s="7">
        <v>50</v>
      </c>
      <c r="E155" s="7">
        <v>120</v>
      </c>
      <c r="F155" t="s">
        <v>897</v>
      </c>
      <c r="G155">
        <v>12</v>
      </c>
      <c r="H155">
        <v>20</v>
      </c>
    </row>
    <row r="156" spans="1:8" x14ac:dyDescent="0.25">
      <c r="A156" t="s">
        <v>571</v>
      </c>
      <c r="B156">
        <v>24029</v>
      </c>
      <c r="C156" s="8" t="s">
        <v>659</v>
      </c>
      <c r="D156" s="7">
        <v>50</v>
      </c>
      <c r="E156" s="7">
        <v>120</v>
      </c>
      <c r="F156" t="s">
        <v>898</v>
      </c>
      <c r="G156">
        <v>12</v>
      </c>
      <c r="H156">
        <v>20</v>
      </c>
    </row>
    <row r="157" spans="1:8" x14ac:dyDescent="0.25">
      <c r="A157" t="s">
        <v>571</v>
      </c>
      <c r="B157">
        <v>24029</v>
      </c>
      <c r="C157" s="8" t="s">
        <v>659</v>
      </c>
      <c r="D157" s="7">
        <v>50</v>
      </c>
      <c r="E157" s="7">
        <v>120</v>
      </c>
      <c r="F157" t="s">
        <v>897</v>
      </c>
      <c r="G157">
        <v>12</v>
      </c>
      <c r="H157">
        <v>20</v>
      </c>
    </row>
    <row r="158" spans="1:8" x14ac:dyDescent="0.25">
      <c r="A158" t="s">
        <v>571</v>
      </c>
      <c r="B158">
        <v>24029</v>
      </c>
      <c r="C158" s="8" t="s">
        <v>659</v>
      </c>
      <c r="D158" s="7">
        <v>50</v>
      </c>
      <c r="E158" s="7">
        <v>120</v>
      </c>
      <c r="F158" t="s">
        <v>897</v>
      </c>
      <c r="G158">
        <v>12</v>
      </c>
      <c r="H158">
        <v>20</v>
      </c>
    </row>
  </sheetData>
  <phoneticPr fontId="8" alignment="center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8BA4-20F6-054B-8A69-3D5CE6BD96B5}">
  <dimension ref="A1:H21"/>
  <sheetViews>
    <sheetView topLeftCell="A6" zoomScaleNormal="150" zoomScaleSheetLayoutView="100" workbookViewId="0">
      <selection activeCell="D27" sqref="D27"/>
    </sheetView>
  </sheetViews>
  <sheetFormatPr defaultRowHeight="15" x14ac:dyDescent="0.25"/>
  <cols>
    <col min="6" max="6" width="21.7109375" bestFit="1" customWidth="1"/>
  </cols>
  <sheetData>
    <row r="1" spans="1:8" x14ac:dyDescent="0.25">
      <c r="A1" s="1" t="s">
        <v>515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14</v>
      </c>
      <c r="G1" s="1" t="s">
        <v>654</v>
      </c>
      <c r="H1" s="1" t="s">
        <v>578</v>
      </c>
    </row>
    <row r="2" spans="1:8" x14ac:dyDescent="0.25">
      <c r="A2" t="s">
        <v>577</v>
      </c>
      <c r="B2">
        <v>25014</v>
      </c>
      <c r="C2" s="8">
        <v>1</v>
      </c>
      <c r="D2" s="7">
        <v>73</v>
      </c>
      <c r="E2" s="7">
        <v>110</v>
      </c>
      <c r="F2" t="s">
        <v>792</v>
      </c>
      <c r="G2">
        <v>10</v>
      </c>
      <c r="H2">
        <v>18</v>
      </c>
    </row>
    <row r="3" spans="1:8" x14ac:dyDescent="0.25">
      <c r="A3" t="s">
        <v>577</v>
      </c>
      <c r="B3">
        <v>25014</v>
      </c>
      <c r="C3" s="8">
        <v>3</v>
      </c>
      <c r="D3" s="7">
        <v>73</v>
      </c>
      <c r="E3" s="7">
        <v>161</v>
      </c>
      <c r="F3" t="s">
        <v>792</v>
      </c>
      <c r="G3">
        <v>10</v>
      </c>
      <c r="H3">
        <v>9</v>
      </c>
    </row>
    <row r="4" spans="1:8" x14ac:dyDescent="0.25">
      <c r="A4" t="s">
        <v>577</v>
      </c>
      <c r="B4">
        <v>25014</v>
      </c>
      <c r="C4" s="8">
        <v>9</v>
      </c>
      <c r="D4" s="7">
        <v>73</v>
      </c>
      <c r="E4" s="7">
        <v>161</v>
      </c>
      <c r="F4" t="s">
        <v>793</v>
      </c>
      <c r="G4">
        <v>10</v>
      </c>
      <c r="H4">
        <v>4</v>
      </c>
    </row>
    <row r="5" spans="1:8" x14ac:dyDescent="0.25">
      <c r="A5" t="s">
        <v>577</v>
      </c>
      <c r="B5">
        <v>25014</v>
      </c>
      <c r="C5" s="8">
        <v>10</v>
      </c>
      <c r="D5" s="7">
        <v>73</v>
      </c>
      <c r="E5" s="7">
        <v>161</v>
      </c>
      <c r="F5" t="s">
        <v>793</v>
      </c>
      <c r="G5">
        <v>10</v>
      </c>
      <c r="H5">
        <v>13</v>
      </c>
    </row>
    <row r="6" spans="1:8" x14ac:dyDescent="0.25">
      <c r="A6" t="s">
        <v>577</v>
      </c>
      <c r="B6">
        <v>25014</v>
      </c>
      <c r="C6" s="8">
        <v>11</v>
      </c>
      <c r="D6" s="7">
        <v>73</v>
      </c>
      <c r="E6" s="7">
        <v>161</v>
      </c>
      <c r="F6" t="s">
        <v>793</v>
      </c>
      <c r="G6">
        <v>10</v>
      </c>
      <c r="H6">
        <v>6</v>
      </c>
    </row>
    <row r="7" spans="1:8" x14ac:dyDescent="0.25">
      <c r="A7" t="s">
        <v>577</v>
      </c>
      <c r="B7">
        <v>25014</v>
      </c>
      <c r="C7" s="8">
        <v>12</v>
      </c>
      <c r="D7" s="7">
        <v>73</v>
      </c>
      <c r="E7" s="7">
        <v>161</v>
      </c>
      <c r="F7" t="s">
        <v>793</v>
      </c>
      <c r="G7">
        <v>10</v>
      </c>
      <c r="H7">
        <v>13</v>
      </c>
    </row>
    <row r="8" spans="1:8" x14ac:dyDescent="0.25">
      <c r="A8" t="s">
        <v>577</v>
      </c>
      <c r="B8">
        <v>25014</v>
      </c>
      <c r="C8" s="8">
        <v>6</v>
      </c>
      <c r="D8" s="7">
        <v>73</v>
      </c>
      <c r="E8" s="7">
        <v>161</v>
      </c>
      <c r="F8" t="s">
        <v>793</v>
      </c>
      <c r="G8">
        <v>10</v>
      </c>
      <c r="H8">
        <v>9</v>
      </c>
    </row>
    <row r="9" spans="1:8" x14ac:dyDescent="0.25">
      <c r="A9" t="s">
        <v>577</v>
      </c>
      <c r="B9">
        <v>25014</v>
      </c>
      <c r="C9" s="8">
        <v>7</v>
      </c>
      <c r="D9" s="7">
        <v>73</v>
      </c>
      <c r="E9" s="7">
        <v>161</v>
      </c>
      <c r="F9" t="s">
        <v>793</v>
      </c>
      <c r="G9">
        <v>10</v>
      </c>
      <c r="H9">
        <v>13</v>
      </c>
    </row>
    <row r="10" spans="1:8" x14ac:dyDescent="0.25">
      <c r="A10" t="s">
        <v>577</v>
      </c>
      <c r="B10">
        <v>25014</v>
      </c>
      <c r="C10" s="8">
        <v>8</v>
      </c>
      <c r="D10" s="7">
        <v>73</v>
      </c>
      <c r="E10" s="7">
        <v>161</v>
      </c>
      <c r="F10" t="s">
        <v>793</v>
      </c>
      <c r="G10">
        <v>10</v>
      </c>
      <c r="H10">
        <v>13</v>
      </c>
    </row>
    <row r="11" spans="1:8" x14ac:dyDescent="0.25">
      <c r="A11" t="s">
        <v>577</v>
      </c>
      <c r="B11">
        <v>25014</v>
      </c>
      <c r="C11" s="8">
        <v>2</v>
      </c>
      <c r="D11" s="7">
        <v>73</v>
      </c>
      <c r="E11" s="7">
        <v>161</v>
      </c>
      <c r="F11" t="s">
        <v>792</v>
      </c>
      <c r="G11">
        <v>10</v>
      </c>
      <c r="H11">
        <v>13</v>
      </c>
    </row>
    <row r="12" spans="1:8" x14ac:dyDescent="0.25">
      <c r="A12" t="s">
        <v>577</v>
      </c>
      <c r="B12">
        <v>25014</v>
      </c>
      <c r="C12" s="8">
        <v>5</v>
      </c>
      <c r="D12" s="7">
        <v>73</v>
      </c>
      <c r="E12" s="7">
        <v>161</v>
      </c>
      <c r="F12" t="s">
        <v>792</v>
      </c>
      <c r="G12">
        <v>10</v>
      </c>
      <c r="H12">
        <v>13</v>
      </c>
    </row>
    <row r="13" spans="1:8" x14ac:dyDescent="0.25">
      <c r="A13" t="s">
        <v>577</v>
      </c>
      <c r="B13">
        <v>24017</v>
      </c>
      <c r="C13" s="8">
        <v>35</v>
      </c>
      <c r="D13" s="7">
        <v>50</v>
      </c>
      <c r="E13" s="7">
        <v>100</v>
      </c>
      <c r="F13" t="s">
        <v>794</v>
      </c>
      <c r="G13">
        <v>8</v>
      </c>
      <c r="H13">
        <v>27</v>
      </c>
    </row>
    <row r="14" spans="1:8" x14ac:dyDescent="0.25">
      <c r="A14" t="s">
        <v>577</v>
      </c>
      <c r="B14">
        <v>24015</v>
      </c>
      <c r="C14" s="8">
        <v>5</v>
      </c>
      <c r="D14" s="7">
        <v>50</v>
      </c>
      <c r="E14" s="7">
        <v>120</v>
      </c>
      <c r="F14" t="s">
        <v>795</v>
      </c>
      <c r="G14">
        <v>8</v>
      </c>
      <c r="H14">
        <v>9</v>
      </c>
    </row>
    <row r="15" spans="1:8" x14ac:dyDescent="0.25">
      <c r="A15" t="s">
        <v>577</v>
      </c>
      <c r="B15">
        <v>24015</v>
      </c>
      <c r="C15" s="8">
        <v>3</v>
      </c>
      <c r="D15" s="7">
        <v>50</v>
      </c>
      <c r="E15" s="7">
        <v>120</v>
      </c>
      <c r="F15" t="s">
        <v>796</v>
      </c>
      <c r="G15">
        <v>8</v>
      </c>
      <c r="H15">
        <v>7</v>
      </c>
    </row>
    <row r="16" spans="1:8" x14ac:dyDescent="0.25">
      <c r="A16" t="s">
        <v>577</v>
      </c>
      <c r="B16">
        <v>24015</v>
      </c>
      <c r="C16" s="8">
        <v>2</v>
      </c>
      <c r="D16" s="7">
        <v>50</v>
      </c>
      <c r="E16" s="7">
        <v>120</v>
      </c>
      <c r="F16" t="s">
        <v>796</v>
      </c>
      <c r="G16">
        <v>8</v>
      </c>
      <c r="H16">
        <v>30</v>
      </c>
    </row>
    <row r="17" spans="1:8" x14ac:dyDescent="0.25">
      <c r="A17" t="s">
        <v>577</v>
      </c>
      <c r="B17">
        <v>24031</v>
      </c>
      <c r="C17" s="8">
        <v>5</v>
      </c>
      <c r="D17" s="7">
        <v>50</v>
      </c>
      <c r="E17" s="7">
        <v>120</v>
      </c>
      <c r="F17" t="s">
        <v>793</v>
      </c>
      <c r="G17">
        <v>10</v>
      </c>
      <c r="H17">
        <v>3</v>
      </c>
    </row>
    <row r="18" spans="1:8" x14ac:dyDescent="0.25">
      <c r="A18" t="s">
        <v>577</v>
      </c>
      <c r="B18">
        <v>24031</v>
      </c>
      <c r="C18" s="8">
        <v>4</v>
      </c>
      <c r="D18" s="7">
        <v>50</v>
      </c>
      <c r="E18" s="7">
        <v>120</v>
      </c>
      <c r="F18" t="s">
        <v>793</v>
      </c>
      <c r="G18">
        <v>10</v>
      </c>
      <c r="H18">
        <v>20</v>
      </c>
    </row>
    <row r="19" spans="1:8" x14ac:dyDescent="0.25">
      <c r="A19" t="s">
        <v>577</v>
      </c>
      <c r="B19">
        <v>24031</v>
      </c>
      <c r="C19" s="8">
        <v>3</v>
      </c>
      <c r="D19" s="7">
        <v>50</v>
      </c>
      <c r="E19" s="7">
        <v>120</v>
      </c>
      <c r="F19" t="s">
        <v>793</v>
      </c>
      <c r="G19">
        <v>10</v>
      </c>
      <c r="H19">
        <v>13</v>
      </c>
    </row>
    <row r="20" spans="1:8" x14ac:dyDescent="0.25">
      <c r="A20" t="s">
        <v>577</v>
      </c>
      <c r="B20">
        <v>24031</v>
      </c>
      <c r="C20" s="8">
        <v>2</v>
      </c>
      <c r="D20" s="7">
        <v>50</v>
      </c>
      <c r="E20" s="7">
        <v>120</v>
      </c>
      <c r="F20" t="s">
        <v>793</v>
      </c>
      <c r="G20">
        <v>10</v>
      </c>
      <c r="H20">
        <v>13</v>
      </c>
    </row>
    <row r="21" spans="1:8" x14ac:dyDescent="0.25">
      <c r="A21" t="s">
        <v>577</v>
      </c>
      <c r="B21">
        <v>24031</v>
      </c>
      <c r="C21" s="8">
        <v>1</v>
      </c>
      <c r="D21" s="7">
        <v>50</v>
      </c>
      <c r="E21" s="7">
        <v>120</v>
      </c>
      <c r="F21" t="s">
        <v>793</v>
      </c>
      <c r="G21">
        <v>10</v>
      </c>
      <c r="H21">
        <v>13</v>
      </c>
    </row>
  </sheetData>
  <phoneticPr fontId="8" alignment="center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6"/>
  <sheetViews>
    <sheetView zoomScaleNormal="100" workbookViewId="0"/>
  </sheetViews>
  <sheetFormatPr defaultColWidth="8.7109375" defaultRowHeight="15" x14ac:dyDescent="0.25"/>
  <cols>
    <col min="1" max="1" width="13" customWidth="1"/>
    <col min="2" max="2" width="12" customWidth="1"/>
    <col min="3" max="3" width="26" customWidth="1"/>
    <col min="4" max="4" width="10" customWidth="1"/>
  </cols>
  <sheetData>
    <row r="1" spans="1:4" x14ac:dyDescent="0.25">
      <c r="A1" s="1" t="s">
        <v>515</v>
      </c>
      <c r="B1" s="1" t="s">
        <v>582</v>
      </c>
      <c r="C1" s="1" t="s">
        <v>14</v>
      </c>
      <c r="D1" s="1" t="s">
        <v>578</v>
      </c>
    </row>
    <row r="2" spans="1:4" x14ac:dyDescent="0.25">
      <c r="A2" t="s">
        <v>575</v>
      </c>
      <c r="C2" t="s">
        <v>797</v>
      </c>
      <c r="D2">
        <v>4500</v>
      </c>
    </row>
    <row r="3" spans="1:4" x14ac:dyDescent="0.25">
      <c r="A3" t="s">
        <v>575</v>
      </c>
      <c r="C3" t="s">
        <v>607</v>
      </c>
      <c r="D3">
        <v>5000</v>
      </c>
    </row>
    <row r="4" spans="1:4" x14ac:dyDescent="0.25">
      <c r="A4" t="s">
        <v>575</v>
      </c>
      <c r="B4">
        <v>22050</v>
      </c>
      <c r="C4" t="s">
        <v>798</v>
      </c>
      <c r="D4">
        <v>5000</v>
      </c>
    </row>
    <row r="5" spans="1:4" x14ac:dyDescent="0.25">
      <c r="A5" t="s">
        <v>575</v>
      </c>
      <c r="B5">
        <v>23015</v>
      </c>
      <c r="C5" t="s">
        <v>799</v>
      </c>
      <c r="D5">
        <v>500</v>
      </c>
    </row>
    <row r="6" spans="1:4" x14ac:dyDescent="0.25">
      <c r="A6" t="s">
        <v>575</v>
      </c>
      <c r="C6" t="s">
        <v>800</v>
      </c>
      <c r="D6">
        <v>1000</v>
      </c>
    </row>
    <row r="7" spans="1:4" x14ac:dyDescent="0.25">
      <c r="A7" t="s">
        <v>575</v>
      </c>
      <c r="B7">
        <v>23023</v>
      </c>
      <c r="C7" t="s">
        <v>801</v>
      </c>
      <c r="D7">
        <v>2000</v>
      </c>
    </row>
    <row r="8" spans="1:4" x14ac:dyDescent="0.25">
      <c r="A8" t="s">
        <v>575</v>
      </c>
      <c r="B8">
        <v>25004</v>
      </c>
      <c r="C8" t="s">
        <v>797</v>
      </c>
      <c r="D8">
        <v>1500</v>
      </c>
    </row>
    <row r="9" spans="1:4" x14ac:dyDescent="0.25">
      <c r="A9" t="s">
        <v>575</v>
      </c>
      <c r="B9">
        <v>23015</v>
      </c>
      <c r="C9" t="s">
        <v>802</v>
      </c>
      <c r="D9">
        <v>4000</v>
      </c>
    </row>
    <row r="10" spans="1:4" x14ac:dyDescent="0.25">
      <c r="A10" t="s">
        <v>575</v>
      </c>
      <c r="B10">
        <v>23012</v>
      </c>
      <c r="C10" t="s">
        <v>803</v>
      </c>
      <c r="D10">
        <v>3500</v>
      </c>
    </row>
    <row r="11" spans="1:4" x14ac:dyDescent="0.25">
      <c r="A11" t="s">
        <v>575</v>
      </c>
      <c r="C11" t="s">
        <v>804</v>
      </c>
      <c r="D11">
        <v>2500</v>
      </c>
    </row>
    <row r="12" spans="1:4" x14ac:dyDescent="0.25">
      <c r="A12" t="s">
        <v>575</v>
      </c>
      <c r="B12">
        <v>23012</v>
      </c>
      <c r="C12" t="s">
        <v>803</v>
      </c>
      <c r="D12">
        <v>8000</v>
      </c>
    </row>
    <row r="13" spans="1:4" x14ac:dyDescent="0.25">
      <c r="A13" t="s">
        <v>575</v>
      </c>
      <c r="B13">
        <v>23023</v>
      </c>
      <c r="C13" t="s">
        <v>797</v>
      </c>
      <c r="D13">
        <v>250</v>
      </c>
    </row>
    <row r="14" spans="1:4" x14ac:dyDescent="0.25">
      <c r="A14" t="s">
        <v>575</v>
      </c>
      <c r="C14" t="s">
        <v>804</v>
      </c>
      <c r="D14">
        <v>500</v>
      </c>
    </row>
    <row r="15" spans="1:4" x14ac:dyDescent="0.25">
      <c r="A15" t="s">
        <v>575</v>
      </c>
      <c r="B15">
        <v>24021</v>
      </c>
      <c r="C15" t="s">
        <v>805</v>
      </c>
      <c r="D15">
        <v>3500</v>
      </c>
    </row>
    <row r="16" spans="1:4" x14ac:dyDescent="0.25">
      <c r="A16" t="s">
        <v>575</v>
      </c>
      <c r="B16">
        <v>23008</v>
      </c>
      <c r="C16" t="s">
        <v>799</v>
      </c>
      <c r="D16">
        <v>4500</v>
      </c>
    </row>
    <row r="17" spans="1:4" x14ac:dyDescent="0.25">
      <c r="A17" t="s">
        <v>575</v>
      </c>
      <c r="B17">
        <v>22038</v>
      </c>
      <c r="C17" t="s">
        <v>806</v>
      </c>
      <c r="D17">
        <v>500</v>
      </c>
    </row>
    <row r="18" spans="1:4" x14ac:dyDescent="0.25">
      <c r="A18" t="s">
        <v>575</v>
      </c>
      <c r="B18">
        <v>21033</v>
      </c>
      <c r="C18" t="s">
        <v>807</v>
      </c>
      <c r="D18">
        <v>2500</v>
      </c>
    </row>
    <row r="19" spans="1:4" x14ac:dyDescent="0.25">
      <c r="A19" t="s">
        <v>575</v>
      </c>
      <c r="B19">
        <v>23023</v>
      </c>
      <c r="C19" t="s">
        <v>589</v>
      </c>
      <c r="D19">
        <v>4500</v>
      </c>
    </row>
    <row r="20" spans="1:4" x14ac:dyDescent="0.25">
      <c r="A20" t="s">
        <v>575</v>
      </c>
      <c r="B20">
        <v>22003</v>
      </c>
      <c r="C20" t="s">
        <v>808</v>
      </c>
      <c r="D20">
        <v>4000</v>
      </c>
    </row>
    <row r="21" spans="1:4" x14ac:dyDescent="0.25">
      <c r="A21" t="s">
        <v>575</v>
      </c>
      <c r="B21">
        <v>25002</v>
      </c>
      <c r="C21" t="s">
        <v>809</v>
      </c>
      <c r="D21">
        <v>1000</v>
      </c>
    </row>
    <row r="22" spans="1:4" x14ac:dyDescent="0.25">
      <c r="A22" t="s">
        <v>575</v>
      </c>
      <c r="C22" t="s">
        <v>806</v>
      </c>
      <c r="D22">
        <v>1000</v>
      </c>
    </row>
    <row r="23" spans="1:4" x14ac:dyDescent="0.25">
      <c r="A23" t="s">
        <v>575</v>
      </c>
      <c r="C23" t="s">
        <v>810</v>
      </c>
      <c r="D23">
        <v>1500</v>
      </c>
    </row>
    <row r="24" spans="1:4" x14ac:dyDescent="0.25">
      <c r="A24" t="s">
        <v>575</v>
      </c>
      <c r="B24">
        <v>22003</v>
      </c>
      <c r="C24" t="s">
        <v>811</v>
      </c>
      <c r="D24">
        <v>2000</v>
      </c>
    </row>
    <row r="25" spans="1:4" x14ac:dyDescent="0.25">
      <c r="A25" t="s">
        <v>575</v>
      </c>
      <c r="B25">
        <v>24021</v>
      </c>
      <c r="C25" t="s">
        <v>805</v>
      </c>
      <c r="D25">
        <v>5000</v>
      </c>
    </row>
    <row r="26" spans="1:4" x14ac:dyDescent="0.25">
      <c r="A26" t="s">
        <v>575</v>
      </c>
      <c r="B26">
        <v>22003</v>
      </c>
      <c r="C26" t="s">
        <v>812</v>
      </c>
      <c r="D26">
        <v>1500</v>
      </c>
    </row>
    <row r="27" spans="1:4" x14ac:dyDescent="0.25">
      <c r="A27" t="s">
        <v>575</v>
      </c>
      <c r="B27">
        <v>23028</v>
      </c>
      <c r="C27" t="s">
        <v>798</v>
      </c>
      <c r="D27">
        <v>1500</v>
      </c>
    </row>
    <row r="28" spans="1:4" x14ac:dyDescent="0.25">
      <c r="A28" t="s">
        <v>575</v>
      </c>
      <c r="B28">
        <v>25006</v>
      </c>
      <c r="C28" t="s">
        <v>813</v>
      </c>
      <c r="D28">
        <v>5000</v>
      </c>
    </row>
    <row r="29" spans="1:4" x14ac:dyDescent="0.25">
      <c r="A29" t="s">
        <v>575</v>
      </c>
      <c r="B29">
        <v>23012</v>
      </c>
      <c r="C29" t="s">
        <v>814</v>
      </c>
      <c r="D29">
        <v>5000</v>
      </c>
    </row>
    <row r="30" spans="1:4" x14ac:dyDescent="0.25">
      <c r="A30" t="s">
        <v>575</v>
      </c>
      <c r="B30">
        <v>23030</v>
      </c>
      <c r="C30" t="s">
        <v>815</v>
      </c>
      <c r="D30">
        <v>5000</v>
      </c>
    </row>
    <row r="31" spans="1:4" x14ac:dyDescent="0.25">
      <c r="A31" t="s">
        <v>575</v>
      </c>
      <c r="C31" t="s">
        <v>607</v>
      </c>
      <c r="D31">
        <v>3500</v>
      </c>
    </row>
    <row r="32" spans="1:4" x14ac:dyDescent="0.25">
      <c r="A32" t="s">
        <v>575</v>
      </c>
      <c r="B32">
        <v>24027</v>
      </c>
      <c r="C32" t="s">
        <v>816</v>
      </c>
      <c r="D32">
        <v>5000</v>
      </c>
    </row>
    <row r="33" spans="1:4" x14ac:dyDescent="0.25">
      <c r="A33" t="s">
        <v>575</v>
      </c>
      <c r="B33">
        <v>23016</v>
      </c>
      <c r="C33" t="s">
        <v>602</v>
      </c>
      <c r="D33">
        <v>3000</v>
      </c>
    </row>
    <row r="34" spans="1:4" x14ac:dyDescent="0.25">
      <c r="A34" t="s">
        <v>575</v>
      </c>
      <c r="B34">
        <v>21033</v>
      </c>
      <c r="C34" t="s">
        <v>807</v>
      </c>
      <c r="D34">
        <v>3500</v>
      </c>
    </row>
    <row r="35" spans="1:4" x14ac:dyDescent="0.25">
      <c r="A35" t="s">
        <v>575</v>
      </c>
      <c r="B35">
        <v>23012</v>
      </c>
      <c r="C35" t="s">
        <v>804</v>
      </c>
      <c r="D35">
        <v>4500</v>
      </c>
    </row>
    <row r="36" spans="1:4" x14ac:dyDescent="0.25">
      <c r="A36" t="s">
        <v>575</v>
      </c>
      <c r="B36">
        <v>24027</v>
      </c>
      <c r="C36" t="s">
        <v>817</v>
      </c>
      <c r="D36">
        <v>4500</v>
      </c>
    </row>
    <row r="37" spans="1:4" x14ac:dyDescent="0.25">
      <c r="A37" t="s">
        <v>575</v>
      </c>
      <c r="C37" t="s">
        <v>797</v>
      </c>
      <c r="D37">
        <v>4500</v>
      </c>
    </row>
    <row r="38" spans="1:4" x14ac:dyDescent="0.25">
      <c r="A38" t="s">
        <v>575</v>
      </c>
      <c r="B38">
        <v>24021</v>
      </c>
      <c r="C38" t="s">
        <v>818</v>
      </c>
      <c r="D38">
        <v>2500</v>
      </c>
    </row>
    <row r="39" spans="1:4" x14ac:dyDescent="0.25">
      <c r="A39" t="s">
        <v>575</v>
      </c>
      <c r="B39">
        <v>23012</v>
      </c>
      <c r="C39" t="s">
        <v>817</v>
      </c>
      <c r="D39">
        <v>2500</v>
      </c>
    </row>
    <row r="40" spans="1:4" x14ac:dyDescent="0.25">
      <c r="A40" t="s">
        <v>575</v>
      </c>
      <c r="B40">
        <v>23015</v>
      </c>
      <c r="C40" t="s">
        <v>802</v>
      </c>
      <c r="D40">
        <v>2500</v>
      </c>
    </row>
    <row r="41" spans="1:4" x14ac:dyDescent="0.25">
      <c r="A41" t="s">
        <v>575</v>
      </c>
      <c r="C41" t="s">
        <v>800</v>
      </c>
      <c r="D41">
        <v>1000</v>
      </c>
    </row>
    <row r="42" spans="1:4" x14ac:dyDescent="0.25">
      <c r="A42" t="s">
        <v>575</v>
      </c>
      <c r="C42" t="s">
        <v>819</v>
      </c>
      <c r="D42">
        <v>75000</v>
      </c>
    </row>
    <row r="43" spans="1:4" x14ac:dyDescent="0.25">
      <c r="A43" t="s">
        <v>575</v>
      </c>
      <c r="B43">
        <v>24021</v>
      </c>
      <c r="C43" t="s">
        <v>818</v>
      </c>
      <c r="D43">
        <v>15000</v>
      </c>
    </row>
    <row r="44" spans="1:4" x14ac:dyDescent="0.25">
      <c r="A44" t="s">
        <v>575</v>
      </c>
      <c r="B44">
        <v>24021</v>
      </c>
      <c r="C44" t="s">
        <v>820</v>
      </c>
      <c r="D44">
        <v>35000</v>
      </c>
    </row>
    <row r="45" spans="1:4" x14ac:dyDescent="0.25">
      <c r="A45" t="s">
        <v>575</v>
      </c>
      <c r="B45">
        <v>23003</v>
      </c>
      <c r="C45" t="s">
        <v>821</v>
      </c>
      <c r="D45">
        <v>5000</v>
      </c>
    </row>
    <row r="46" spans="1:4" x14ac:dyDescent="0.25">
      <c r="A46" t="s">
        <v>575</v>
      </c>
      <c r="B46">
        <v>24028</v>
      </c>
      <c r="C46" t="s">
        <v>822</v>
      </c>
      <c r="D46">
        <v>48000</v>
      </c>
    </row>
    <row r="47" spans="1:4" x14ac:dyDescent="0.25">
      <c r="A47" t="s">
        <v>575</v>
      </c>
      <c r="B47">
        <v>25025</v>
      </c>
      <c r="C47" t="s">
        <v>823</v>
      </c>
      <c r="D47">
        <v>10000</v>
      </c>
    </row>
    <row r="48" spans="1:4" x14ac:dyDescent="0.25">
      <c r="A48" t="s">
        <v>575</v>
      </c>
      <c r="B48">
        <v>25021</v>
      </c>
      <c r="C48" t="s">
        <v>824</v>
      </c>
      <c r="D48">
        <v>5000</v>
      </c>
    </row>
    <row r="49" spans="1:4" x14ac:dyDescent="0.25">
      <c r="A49" t="s">
        <v>575</v>
      </c>
      <c r="B49">
        <v>23016</v>
      </c>
      <c r="C49" t="s">
        <v>635</v>
      </c>
      <c r="D49">
        <v>500</v>
      </c>
    </row>
    <row r="50" spans="1:4" x14ac:dyDescent="0.25">
      <c r="A50" t="s">
        <v>575</v>
      </c>
      <c r="B50">
        <v>21050</v>
      </c>
      <c r="C50" t="s">
        <v>825</v>
      </c>
      <c r="D50">
        <v>5000</v>
      </c>
    </row>
    <row r="51" spans="1:4" x14ac:dyDescent="0.25">
      <c r="A51" t="s">
        <v>575</v>
      </c>
      <c r="B51">
        <v>20040</v>
      </c>
      <c r="C51" t="s">
        <v>826</v>
      </c>
      <c r="D51">
        <v>10000</v>
      </c>
    </row>
    <row r="52" spans="1:4" x14ac:dyDescent="0.25">
      <c r="A52" t="s">
        <v>575</v>
      </c>
      <c r="C52" t="s">
        <v>827</v>
      </c>
      <c r="D52">
        <v>0</v>
      </c>
    </row>
    <row r="53" spans="1:4" x14ac:dyDescent="0.25">
      <c r="A53" t="s">
        <v>575</v>
      </c>
      <c r="B53">
        <v>20044</v>
      </c>
      <c r="C53" t="s">
        <v>828</v>
      </c>
      <c r="D53">
        <v>10000</v>
      </c>
    </row>
    <row r="54" spans="1:4" x14ac:dyDescent="0.25">
      <c r="A54" t="s">
        <v>575</v>
      </c>
      <c r="B54">
        <v>21003</v>
      </c>
      <c r="C54" t="s">
        <v>829</v>
      </c>
      <c r="D54">
        <v>10000</v>
      </c>
    </row>
    <row r="55" spans="1:4" x14ac:dyDescent="0.25">
      <c r="A55" t="s">
        <v>575</v>
      </c>
      <c r="B55">
        <v>23023</v>
      </c>
      <c r="C55" t="s">
        <v>607</v>
      </c>
      <c r="D55">
        <v>5000</v>
      </c>
    </row>
    <row r="56" spans="1:4" x14ac:dyDescent="0.25">
      <c r="A56" t="s">
        <v>575</v>
      </c>
      <c r="B56">
        <v>25035</v>
      </c>
      <c r="C56" t="s">
        <v>607</v>
      </c>
      <c r="D56">
        <v>500</v>
      </c>
    </row>
    <row r="57" spans="1:4" x14ac:dyDescent="0.25">
      <c r="A57" t="s">
        <v>575</v>
      </c>
      <c r="B57">
        <v>24022</v>
      </c>
      <c r="C57" t="s">
        <v>606</v>
      </c>
      <c r="D57">
        <v>5000</v>
      </c>
    </row>
    <row r="58" spans="1:4" x14ac:dyDescent="0.25">
      <c r="A58" t="s">
        <v>575</v>
      </c>
      <c r="B58">
        <v>21015</v>
      </c>
      <c r="C58" t="s">
        <v>830</v>
      </c>
      <c r="D58">
        <v>0</v>
      </c>
    </row>
    <row r="59" spans="1:4" x14ac:dyDescent="0.25">
      <c r="A59" t="s">
        <v>575</v>
      </c>
      <c r="C59" t="s">
        <v>825</v>
      </c>
      <c r="D59">
        <v>10000</v>
      </c>
    </row>
    <row r="60" spans="1:4" x14ac:dyDescent="0.25">
      <c r="A60" t="s">
        <v>575</v>
      </c>
      <c r="C60" t="s">
        <v>831</v>
      </c>
      <c r="D60">
        <v>5000</v>
      </c>
    </row>
    <row r="61" spans="1:4" x14ac:dyDescent="0.25">
      <c r="A61" t="s">
        <v>575</v>
      </c>
      <c r="C61" t="s">
        <v>832</v>
      </c>
      <c r="D61">
        <v>15000</v>
      </c>
    </row>
    <row r="62" spans="1:4" x14ac:dyDescent="0.25">
      <c r="A62" t="s">
        <v>575</v>
      </c>
      <c r="C62" t="s">
        <v>833</v>
      </c>
      <c r="D62">
        <v>10000</v>
      </c>
    </row>
    <row r="63" spans="1:4" x14ac:dyDescent="0.25">
      <c r="A63" t="s">
        <v>575</v>
      </c>
      <c r="C63" t="s">
        <v>834</v>
      </c>
      <c r="D63">
        <v>15000</v>
      </c>
    </row>
    <row r="64" spans="1:4" x14ac:dyDescent="0.25">
      <c r="A64" t="s">
        <v>575</v>
      </c>
      <c r="C64" t="s">
        <v>835</v>
      </c>
      <c r="D64">
        <v>15000</v>
      </c>
    </row>
    <row r="65" spans="1:4" x14ac:dyDescent="0.25">
      <c r="A65" t="s">
        <v>575</v>
      </c>
      <c r="C65" t="s">
        <v>836</v>
      </c>
      <c r="D65">
        <v>5000</v>
      </c>
    </row>
    <row r="66" spans="1:4" x14ac:dyDescent="0.25">
      <c r="A66" t="s">
        <v>575</v>
      </c>
      <c r="C66" t="s">
        <v>804</v>
      </c>
      <c r="D66">
        <v>10000</v>
      </c>
    </row>
    <row r="67" spans="1:4" x14ac:dyDescent="0.25">
      <c r="A67" t="s">
        <v>575</v>
      </c>
      <c r="C67" t="s">
        <v>837</v>
      </c>
      <c r="D67">
        <v>10000</v>
      </c>
    </row>
    <row r="68" spans="1:4" x14ac:dyDescent="0.25">
      <c r="A68" t="s">
        <v>575</v>
      </c>
      <c r="C68" t="s">
        <v>828</v>
      </c>
      <c r="D68">
        <v>10000</v>
      </c>
    </row>
    <row r="69" spans="1:4" x14ac:dyDescent="0.25">
      <c r="A69" t="s">
        <v>575</v>
      </c>
      <c r="C69" t="s">
        <v>838</v>
      </c>
      <c r="D69">
        <v>5000</v>
      </c>
    </row>
    <row r="70" spans="1:4" x14ac:dyDescent="0.25">
      <c r="A70" t="s">
        <v>575</v>
      </c>
      <c r="C70" t="s">
        <v>839</v>
      </c>
      <c r="D70">
        <v>5000</v>
      </c>
    </row>
    <row r="71" spans="1:4" x14ac:dyDescent="0.25">
      <c r="A71" t="s">
        <v>575</v>
      </c>
      <c r="C71" t="s">
        <v>840</v>
      </c>
      <c r="D71">
        <v>10000</v>
      </c>
    </row>
    <row r="72" spans="1:4" x14ac:dyDescent="0.25">
      <c r="A72" t="s">
        <v>575</v>
      </c>
      <c r="C72" t="s">
        <v>841</v>
      </c>
      <c r="D72">
        <v>5000</v>
      </c>
    </row>
    <row r="73" spans="1:4" x14ac:dyDescent="0.25">
      <c r="A73" t="s">
        <v>575</v>
      </c>
      <c r="C73" t="s">
        <v>842</v>
      </c>
      <c r="D73">
        <v>5000</v>
      </c>
    </row>
    <row r="74" spans="1:4" x14ac:dyDescent="0.25">
      <c r="A74" t="s">
        <v>575</v>
      </c>
      <c r="B74">
        <v>21049</v>
      </c>
      <c r="C74" t="s">
        <v>799</v>
      </c>
      <c r="D74">
        <v>2000</v>
      </c>
    </row>
    <row r="75" spans="1:4" x14ac:dyDescent="0.25">
      <c r="A75" t="s">
        <v>575</v>
      </c>
      <c r="B75">
        <v>23012</v>
      </c>
      <c r="C75" t="s">
        <v>843</v>
      </c>
      <c r="D75">
        <v>3500</v>
      </c>
    </row>
    <row r="76" spans="1:4" x14ac:dyDescent="0.25">
      <c r="A76" t="s">
        <v>575</v>
      </c>
      <c r="B76">
        <v>23025</v>
      </c>
      <c r="C76" t="s">
        <v>630</v>
      </c>
      <c r="D76">
        <v>500</v>
      </c>
    </row>
    <row r="77" spans="1:4" x14ac:dyDescent="0.25">
      <c r="A77" t="s">
        <v>575</v>
      </c>
      <c r="B77">
        <v>23012</v>
      </c>
      <c r="C77" t="s">
        <v>804</v>
      </c>
      <c r="D77">
        <v>2500</v>
      </c>
    </row>
    <row r="78" spans="1:4" x14ac:dyDescent="0.25">
      <c r="A78" t="s">
        <v>575</v>
      </c>
      <c r="B78">
        <v>24012</v>
      </c>
      <c r="C78" t="s">
        <v>844</v>
      </c>
      <c r="D78">
        <v>1000</v>
      </c>
    </row>
    <row r="79" spans="1:4" x14ac:dyDescent="0.25">
      <c r="A79" t="s">
        <v>575</v>
      </c>
      <c r="B79">
        <v>23025</v>
      </c>
      <c r="C79" t="s">
        <v>589</v>
      </c>
      <c r="D79">
        <v>4500</v>
      </c>
    </row>
    <row r="80" spans="1:4" x14ac:dyDescent="0.25">
      <c r="A80" t="s">
        <v>575</v>
      </c>
      <c r="B80">
        <v>24012</v>
      </c>
      <c r="C80" t="s">
        <v>821</v>
      </c>
      <c r="D80">
        <v>1000</v>
      </c>
    </row>
    <row r="81" spans="1:4" x14ac:dyDescent="0.25">
      <c r="A81" t="s">
        <v>575</v>
      </c>
      <c r="C81" t="s">
        <v>845</v>
      </c>
      <c r="D81">
        <v>2000</v>
      </c>
    </row>
    <row r="82" spans="1:4" x14ac:dyDescent="0.25">
      <c r="A82" t="s">
        <v>575</v>
      </c>
      <c r="B82">
        <v>24022</v>
      </c>
      <c r="C82" t="s">
        <v>606</v>
      </c>
      <c r="D82">
        <v>5000</v>
      </c>
    </row>
    <row r="83" spans="1:4" x14ac:dyDescent="0.25">
      <c r="A83" t="s">
        <v>575</v>
      </c>
      <c r="B83">
        <v>24017</v>
      </c>
      <c r="C83" t="s">
        <v>846</v>
      </c>
      <c r="D83">
        <v>500</v>
      </c>
    </row>
    <row r="84" spans="1:4" x14ac:dyDescent="0.25">
      <c r="A84" t="s">
        <v>575</v>
      </c>
      <c r="B84">
        <v>23021</v>
      </c>
      <c r="C84" t="s">
        <v>847</v>
      </c>
      <c r="D84">
        <v>1500</v>
      </c>
    </row>
    <row r="85" spans="1:4" x14ac:dyDescent="0.25">
      <c r="A85" t="s">
        <v>575</v>
      </c>
      <c r="C85" t="s">
        <v>848</v>
      </c>
      <c r="D85">
        <v>55000</v>
      </c>
    </row>
    <row r="86" spans="1:4" x14ac:dyDescent="0.25">
      <c r="A86" t="s">
        <v>575</v>
      </c>
      <c r="C86" t="s">
        <v>849</v>
      </c>
      <c r="D86">
        <v>55000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18" customWidth="1"/>
    <col min="3" max="3" width="6" customWidth="1"/>
    <col min="4" max="4" width="8" customWidth="1"/>
    <col min="5" max="5" width="10" customWidth="1"/>
    <col min="6" max="6" width="11" customWidth="1"/>
  </cols>
  <sheetData>
    <row r="1" spans="1:6" x14ac:dyDescent="0.25">
      <c r="A1" s="1" t="s">
        <v>1</v>
      </c>
      <c r="B1" s="1" t="s">
        <v>850</v>
      </c>
      <c r="C1" s="1" t="s">
        <v>851</v>
      </c>
      <c r="D1" s="1" t="s">
        <v>14</v>
      </c>
      <c r="E1" s="1" t="s">
        <v>578</v>
      </c>
      <c r="F1" s="1" t="s">
        <v>852</v>
      </c>
    </row>
    <row r="2" spans="1:6" x14ac:dyDescent="0.25">
      <c r="A2" t="s">
        <v>9</v>
      </c>
      <c r="B2" t="s">
        <v>853</v>
      </c>
      <c r="C2" t="s">
        <v>854</v>
      </c>
      <c r="E2">
        <v>5</v>
      </c>
      <c r="F2" t="s">
        <v>855</v>
      </c>
    </row>
    <row r="3" spans="1:6" x14ac:dyDescent="0.25">
      <c r="A3" t="s">
        <v>9</v>
      </c>
      <c r="B3" t="s">
        <v>853</v>
      </c>
      <c r="C3" t="s">
        <v>856</v>
      </c>
      <c r="E3">
        <v>4</v>
      </c>
      <c r="F3" t="s">
        <v>855</v>
      </c>
    </row>
    <row r="4" spans="1:6" x14ac:dyDescent="0.25">
      <c r="A4" t="s">
        <v>9</v>
      </c>
      <c r="B4" t="s">
        <v>853</v>
      </c>
      <c r="C4" t="s">
        <v>679</v>
      </c>
      <c r="F4" t="s">
        <v>857</v>
      </c>
    </row>
    <row r="5" spans="1:6" x14ac:dyDescent="0.25">
      <c r="A5" t="s">
        <v>9</v>
      </c>
      <c r="B5" t="s">
        <v>858</v>
      </c>
      <c r="E5">
        <v>5.5</v>
      </c>
      <c r="F5" t="s">
        <v>855</v>
      </c>
    </row>
    <row r="6" spans="1:6" x14ac:dyDescent="0.25">
      <c r="A6" t="s">
        <v>9</v>
      </c>
      <c r="B6" t="s">
        <v>859</v>
      </c>
      <c r="D6" t="s">
        <v>860</v>
      </c>
      <c r="F6" t="s">
        <v>857</v>
      </c>
    </row>
    <row r="7" spans="1:6" x14ac:dyDescent="0.25">
      <c r="A7" t="s">
        <v>9</v>
      </c>
      <c r="B7" t="s">
        <v>859</v>
      </c>
      <c r="D7" t="s">
        <v>861</v>
      </c>
      <c r="F7" t="s">
        <v>857</v>
      </c>
    </row>
    <row r="8" spans="1:6" x14ac:dyDescent="0.25">
      <c r="A8" t="s">
        <v>9</v>
      </c>
      <c r="B8" t="s">
        <v>859</v>
      </c>
      <c r="D8" t="s">
        <v>813</v>
      </c>
      <c r="F8" t="s">
        <v>857</v>
      </c>
    </row>
    <row r="9" spans="1:6" x14ac:dyDescent="0.25">
      <c r="A9" t="s">
        <v>9</v>
      </c>
      <c r="B9" t="s">
        <v>859</v>
      </c>
      <c r="D9" t="s">
        <v>831</v>
      </c>
      <c r="F9" t="s">
        <v>857</v>
      </c>
    </row>
    <row r="10" spans="1:6" x14ac:dyDescent="0.25">
      <c r="A10" t="s">
        <v>9</v>
      </c>
      <c r="B10" t="s">
        <v>859</v>
      </c>
      <c r="D10" t="s">
        <v>862</v>
      </c>
      <c r="F10" t="s">
        <v>857</v>
      </c>
    </row>
    <row r="11" spans="1:6" x14ac:dyDescent="0.25">
      <c r="A11" t="s">
        <v>9</v>
      </c>
      <c r="B11" t="s">
        <v>859</v>
      </c>
      <c r="D11" t="s">
        <v>863</v>
      </c>
      <c r="F11" t="s">
        <v>857</v>
      </c>
    </row>
    <row r="12" spans="1:6" x14ac:dyDescent="0.25">
      <c r="A12" t="s">
        <v>9</v>
      </c>
      <c r="B12" t="s">
        <v>859</v>
      </c>
      <c r="D12" t="s">
        <v>864</v>
      </c>
      <c r="F12" t="s">
        <v>857</v>
      </c>
    </row>
    <row r="13" spans="1:6" x14ac:dyDescent="0.25">
      <c r="A13" t="s">
        <v>9</v>
      </c>
      <c r="B13" t="s">
        <v>865</v>
      </c>
      <c r="C13" t="s">
        <v>866</v>
      </c>
      <c r="E13">
        <v>7.5</v>
      </c>
      <c r="F13" t="s">
        <v>857</v>
      </c>
    </row>
    <row r="14" spans="1:6" x14ac:dyDescent="0.25">
      <c r="A14" t="s">
        <v>9</v>
      </c>
      <c r="B14" t="s">
        <v>865</v>
      </c>
      <c r="C14" t="s">
        <v>867</v>
      </c>
      <c r="E14">
        <v>2.5</v>
      </c>
      <c r="F14" t="s">
        <v>857</v>
      </c>
    </row>
    <row r="15" spans="1:6" x14ac:dyDescent="0.25">
      <c r="A15" t="s">
        <v>9</v>
      </c>
      <c r="B15" t="s">
        <v>868</v>
      </c>
      <c r="E15">
        <v>11</v>
      </c>
      <c r="F15" t="s">
        <v>857</v>
      </c>
    </row>
    <row r="16" spans="1:6" x14ac:dyDescent="0.25">
      <c r="A16" t="s">
        <v>9</v>
      </c>
      <c r="B16" t="s">
        <v>869</v>
      </c>
      <c r="E16">
        <v>10</v>
      </c>
      <c r="F16" t="s">
        <v>857</v>
      </c>
    </row>
    <row r="17" spans="1:6" x14ac:dyDescent="0.25">
      <c r="A17" t="s">
        <v>9</v>
      </c>
      <c r="B17" t="s">
        <v>870</v>
      </c>
      <c r="E17">
        <v>1</v>
      </c>
      <c r="F17" t="s">
        <v>857</v>
      </c>
    </row>
    <row r="18" spans="1:6" x14ac:dyDescent="0.25">
      <c r="A18" t="s">
        <v>9</v>
      </c>
      <c r="B18" t="s">
        <v>871</v>
      </c>
      <c r="E18">
        <v>3</v>
      </c>
      <c r="F18" t="s">
        <v>857</v>
      </c>
    </row>
    <row r="19" spans="1:6" x14ac:dyDescent="0.25">
      <c r="A19" t="s">
        <v>9</v>
      </c>
      <c r="B19" t="s">
        <v>872</v>
      </c>
      <c r="E19">
        <v>1</v>
      </c>
      <c r="F19" t="s">
        <v>857</v>
      </c>
    </row>
    <row r="20" spans="1:6" x14ac:dyDescent="0.25">
      <c r="A20" t="s">
        <v>9</v>
      </c>
      <c r="B20" t="s">
        <v>873</v>
      </c>
      <c r="D20" t="s">
        <v>813</v>
      </c>
      <c r="F20" t="s">
        <v>857</v>
      </c>
    </row>
    <row r="21" spans="1:6" x14ac:dyDescent="0.25">
      <c r="A21" t="s">
        <v>9</v>
      </c>
      <c r="B21" t="s">
        <v>873</v>
      </c>
      <c r="D21" t="s">
        <v>874</v>
      </c>
      <c r="E21">
        <v>25</v>
      </c>
      <c r="F21" t="s">
        <v>855</v>
      </c>
    </row>
    <row r="22" spans="1:6" x14ac:dyDescent="0.25">
      <c r="A22" t="s">
        <v>9</v>
      </c>
      <c r="B22" t="s">
        <v>875</v>
      </c>
      <c r="E22">
        <v>24000</v>
      </c>
      <c r="F22" t="s">
        <v>876</v>
      </c>
    </row>
    <row r="23" spans="1:6" x14ac:dyDescent="0.25">
      <c r="A23" t="s">
        <v>9</v>
      </c>
      <c r="B23" t="s">
        <v>877</v>
      </c>
      <c r="E23">
        <v>1</v>
      </c>
      <c r="F23" t="s">
        <v>878</v>
      </c>
    </row>
    <row r="24" spans="1:6" x14ac:dyDescent="0.25">
      <c r="A24" t="s">
        <v>9</v>
      </c>
      <c r="B24" t="s">
        <v>879</v>
      </c>
      <c r="E24">
        <v>5100</v>
      </c>
      <c r="F24" t="s">
        <v>857</v>
      </c>
    </row>
    <row r="25" spans="1:6" x14ac:dyDescent="0.25">
      <c r="A25" t="s">
        <v>9</v>
      </c>
      <c r="B25" t="s">
        <v>880</v>
      </c>
      <c r="D25" t="s">
        <v>813</v>
      </c>
      <c r="E25">
        <v>45</v>
      </c>
      <c r="F25" t="s">
        <v>855</v>
      </c>
    </row>
    <row r="26" spans="1:6" x14ac:dyDescent="0.25">
      <c r="A26" t="s">
        <v>9</v>
      </c>
      <c r="B26" t="s">
        <v>881</v>
      </c>
      <c r="E26">
        <v>17000</v>
      </c>
      <c r="F26" t="s">
        <v>857</v>
      </c>
    </row>
    <row r="27" spans="1:6" x14ac:dyDescent="0.25">
      <c r="A27" t="s">
        <v>9</v>
      </c>
      <c r="B27" t="s">
        <v>882</v>
      </c>
      <c r="E27">
        <v>3250</v>
      </c>
      <c r="F27" t="s">
        <v>857</v>
      </c>
    </row>
    <row r="28" spans="1:6" x14ac:dyDescent="0.25">
      <c r="A28" t="s">
        <v>9</v>
      </c>
      <c r="B28" t="s">
        <v>883</v>
      </c>
      <c r="E28">
        <v>500</v>
      </c>
      <c r="F28" t="s">
        <v>857</v>
      </c>
    </row>
    <row r="29" spans="1:6" x14ac:dyDescent="0.25">
      <c r="A29" t="s">
        <v>9</v>
      </c>
      <c r="B29" t="s">
        <v>884</v>
      </c>
      <c r="E29">
        <v>4500</v>
      </c>
      <c r="F29" t="s">
        <v>857</v>
      </c>
    </row>
    <row r="30" spans="1:6" x14ac:dyDescent="0.25">
      <c r="A30" t="s">
        <v>9</v>
      </c>
      <c r="B30" t="s">
        <v>885</v>
      </c>
      <c r="E30">
        <v>2500</v>
      </c>
      <c r="F30" t="s">
        <v>857</v>
      </c>
    </row>
    <row r="31" spans="1:6" x14ac:dyDescent="0.25">
      <c r="A31" t="s">
        <v>9</v>
      </c>
      <c r="B31" t="s">
        <v>886</v>
      </c>
      <c r="E31">
        <v>2</v>
      </c>
      <c r="F31" t="s">
        <v>855</v>
      </c>
    </row>
    <row r="32" spans="1:6" x14ac:dyDescent="0.25">
      <c r="A32" t="s">
        <v>9</v>
      </c>
      <c r="B32" t="s">
        <v>887</v>
      </c>
      <c r="E32">
        <v>2</v>
      </c>
      <c r="F32" t="s">
        <v>855</v>
      </c>
    </row>
    <row r="33" spans="1:6" x14ac:dyDescent="0.25">
      <c r="A33" t="s">
        <v>9</v>
      </c>
      <c r="B33" t="s">
        <v>888</v>
      </c>
      <c r="E33">
        <v>10</v>
      </c>
      <c r="F33" t="s">
        <v>857</v>
      </c>
    </row>
    <row r="34" spans="1:6" x14ac:dyDescent="0.25">
      <c r="A34" t="s">
        <v>9</v>
      </c>
      <c r="B34" t="s">
        <v>889</v>
      </c>
      <c r="E34">
        <v>48</v>
      </c>
      <c r="F34" t="s">
        <v>857</v>
      </c>
    </row>
    <row r="35" spans="1:6" x14ac:dyDescent="0.25">
      <c r="A35" t="s">
        <v>9</v>
      </c>
      <c r="B35" t="s">
        <v>890</v>
      </c>
      <c r="E35">
        <v>17</v>
      </c>
      <c r="F35" t="s">
        <v>855</v>
      </c>
    </row>
    <row r="36" spans="1:6" x14ac:dyDescent="0.25">
      <c r="A36" t="s">
        <v>9</v>
      </c>
      <c r="B36" t="s">
        <v>891</v>
      </c>
      <c r="E36">
        <v>17</v>
      </c>
      <c r="F36" t="s">
        <v>855</v>
      </c>
    </row>
    <row r="37" spans="1:6" x14ac:dyDescent="0.25">
      <c r="A37" t="s">
        <v>9</v>
      </c>
      <c r="B37" t="s">
        <v>885</v>
      </c>
      <c r="E37">
        <v>1000</v>
      </c>
      <c r="F37" t="s">
        <v>857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C566EEDDD2843AA6BB9BB98DB0570" ma:contentTypeVersion="5" ma:contentTypeDescription="Create a new document." ma:contentTypeScope="" ma:versionID="b9d69c2b7d416d4b6eb08ba5dac0c5bc">
  <xsd:schema xmlns:xsd="http://www.w3.org/2001/XMLSchema" xmlns:xs="http://www.w3.org/2001/XMLSchema" xmlns:p="http://schemas.microsoft.com/office/2006/metadata/properties" xmlns:ns3="d059ee28-f1c6-4d7b-8db7-ef415820d232" targetNamespace="http://schemas.microsoft.com/office/2006/metadata/properties" ma:root="true" ma:fieldsID="7470caf0be9279a05639774ac698cb72" ns3:_="">
    <xsd:import namespace="d059ee28-f1c6-4d7b-8db7-ef415820d2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9ee28-f1c6-4d7b-8db7-ef415820d2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59ee28-f1c6-4d7b-8db7-ef415820d2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D0A66-5817-4040-B5D7-12D188CA018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059ee28-f1c6-4d7b-8db7-ef415820d2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AE9BD-456C-4081-AF09-3BF40A7AB9C8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d059ee28-f1c6-4d7b-8db7-ef415820d23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437B8D-640B-4A9F-8B65-E51D770217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Parts</vt:lpstr>
      <vt:lpstr>Locations</vt:lpstr>
      <vt:lpstr>Extrusion_Inventory</vt:lpstr>
      <vt:lpstr>Extrusion_Totals</vt:lpstr>
      <vt:lpstr>DRY_PER_Black_Silver</vt:lpstr>
      <vt:lpstr>ACM_Inventory</vt:lpstr>
      <vt:lpstr>SPL_inventory</vt:lpstr>
      <vt:lpstr>HPL_Inventory</vt:lpstr>
      <vt:lpstr>Rivet_Inventory</vt:lpstr>
      <vt:lpstr>Misc_Inventory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York</cp:lastModifiedBy>
  <cp:revision>0</cp:revision>
  <dcterms:created xsi:type="dcterms:W3CDTF">2026-01-11T03:01:46Z</dcterms:created>
  <dcterms:modified xsi:type="dcterms:W3CDTF">2026-01-18T23:48:45Z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0x010100F5BC566EEDDD2843AA6BB9BB98DB0570</vt:lpwstr>
  </property>
</Properties>
</file>